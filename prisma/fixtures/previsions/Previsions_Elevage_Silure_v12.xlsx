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ronald/Downloads/"/>
    </mc:Choice>
  </mc:AlternateContent>
  <xr:revisionPtr revIDLastSave="0" documentId="13_ncr:1_{339F2558-3C2F-2E43-97DA-A22E51CAFBE7}" xr6:coauthVersionLast="47" xr6:coauthVersionMax="47" xr10:uidLastSave="{00000000-0000-0000-0000-000000000000}"/>
  <bookViews>
    <workbookView xWindow="-13280" yWindow="-28800" windowWidth="51200" windowHeight="28800" tabRatio="500" activeTab="8" xr2:uid="{00000000-000D-0000-FFFF-FFFF00000000}"/>
  </bookViews>
  <sheets>
    <sheet name="Paramètres" sheetId="1" r:id="rId1"/>
    <sheet name="Aliments" sheetId="2" r:id="rId2"/>
    <sheet name="Empoissonnement" sheetId="3" r:id="rId3"/>
    <sheet name="Aliment par vague" sheetId="4" r:id="rId4"/>
    <sheet name="Besoins aliments" sheetId="5" r:id="rId5"/>
    <sheet name="Dépenses" sheetId="9" r:id="rId6"/>
    <sheet name="Journal dépenses" sheetId="10" r:id="rId7"/>
    <sheet name="Gantt vagues" sheetId="6" r:id="rId8"/>
    <sheet name="Prévisions" sheetId="7" r:id="rId9"/>
    <sheet name="Synthèse" sheetId="8"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31" i="7" l="1"/>
  <c r="I31" i="7"/>
  <c r="J31" i="7"/>
  <c r="W26" i="7"/>
  <c r="B5" i="8" s="1"/>
  <c r="V22" i="9"/>
  <c r="U22" i="9"/>
  <c r="T22" i="9"/>
  <c r="S22" i="9"/>
  <c r="R22" i="9"/>
  <c r="Q22" i="9"/>
  <c r="P22" i="9"/>
  <c r="O22" i="9"/>
  <c r="N22" i="9"/>
  <c r="M22" i="9"/>
  <c r="L22" i="9"/>
  <c r="K22" i="9"/>
  <c r="J22" i="9"/>
  <c r="I22" i="9"/>
  <c r="H22" i="9"/>
  <c r="G22" i="9"/>
  <c r="F22" i="9"/>
  <c r="E22" i="9"/>
  <c r="D22" i="9"/>
  <c r="C22" i="9"/>
  <c r="B22" i="9"/>
  <c r="N22" i="3"/>
  <c r="N21" i="3"/>
  <c r="N20" i="3"/>
  <c r="N19" i="3"/>
  <c r="N18" i="3"/>
  <c r="N17" i="3"/>
  <c r="N16" i="3"/>
  <c r="N15" i="3"/>
  <c r="N14" i="3"/>
  <c r="N13" i="3"/>
  <c r="N12" i="3"/>
  <c r="N11" i="3"/>
  <c r="N10" i="3"/>
  <c r="N9" i="3"/>
  <c r="N8" i="3"/>
  <c r="N7" i="3"/>
  <c r="N6" i="3"/>
  <c r="N5" i="3"/>
  <c r="N4" i="3"/>
  <c r="W21" i="9"/>
  <c r="W20" i="9"/>
  <c r="W19" i="9"/>
  <c r="W18" i="9"/>
  <c r="W17" i="9"/>
  <c r="W16" i="9"/>
  <c r="W15" i="9"/>
  <c r="W14" i="9"/>
  <c r="V3" i="9"/>
  <c r="V28" i="9" s="1"/>
  <c r="V33" i="9" s="1"/>
  <c r="V31" i="7" s="1"/>
  <c r="U3" i="9"/>
  <c r="U28" i="9" s="1"/>
  <c r="U33" i="9" s="1"/>
  <c r="U31" i="7" s="1"/>
  <c r="T3" i="9"/>
  <c r="T28" i="9" s="1"/>
  <c r="S3" i="9"/>
  <c r="S28" i="9" s="1"/>
  <c r="S33" i="9" s="1"/>
  <c r="S31" i="7" s="1"/>
  <c r="R3" i="9"/>
  <c r="R28" i="9" s="1"/>
  <c r="R33" i="9" s="1"/>
  <c r="R31" i="7" s="1"/>
  <c r="Q3" i="9"/>
  <c r="Q28" i="9" s="1"/>
  <c r="Q33" i="9" s="1"/>
  <c r="Q31" i="7" s="1"/>
  <c r="P3" i="9"/>
  <c r="P28" i="9" s="1"/>
  <c r="P33" i="9" s="1"/>
  <c r="P31" i="7" s="1"/>
  <c r="O3" i="9"/>
  <c r="O28" i="9" s="1"/>
  <c r="O33" i="9" s="1"/>
  <c r="O31" i="7" s="1"/>
  <c r="N3" i="9"/>
  <c r="N28" i="9" s="1"/>
  <c r="M3" i="9"/>
  <c r="M28" i="9" s="1"/>
  <c r="M33" i="9" s="1"/>
  <c r="M31" i="7" s="1"/>
  <c r="L3" i="9"/>
  <c r="L33" i="9" s="1"/>
  <c r="L31" i="7" s="1"/>
  <c r="K3" i="9"/>
  <c r="K28" i="9" s="1"/>
  <c r="J3" i="9"/>
  <c r="I3" i="9"/>
  <c r="I28" i="9" s="1"/>
  <c r="I33" i="9" s="1"/>
  <c r="H3" i="9"/>
  <c r="H33" i="9" s="1"/>
  <c r="H31" i="7" s="1"/>
  <c r="G3" i="9"/>
  <c r="G33" i="9" s="1"/>
  <c r="G31" i="7" s="1"/>
  <c r="F3" i="9"/>
  <c r="F28" i="9" s="1"/>
  <c r="F33" i="9" s="1"/>
  <c r="F31" i="7" s="1"/>
  <c r="E3" i="9"/>
  <c r="E28" i="9" s="1"/>
  <c r="E33" i="9" s="1"/>
  <c r="E31" i="7" s="1"/>
  <c r="D3" i="9"/>
  <c r="D28" i="9" s="1"/>
  <c r="D33" i="9" s="1"/>
  <c r="D31" i="7" s="1"/>
  <c r="C3" i="9"/>
  <c r="C28" i="9" s="1"/>
  <c r="C33" i="9" s="1"/>
  <c r="C31" i="7" s="1"/>
  <c r="B3" i="9"/>
  <c r="B28" i="9" s="1"/>
  <c r="V15" i="7"/>
  <c r="V14" i="7"/>
  <c r="V13" i="7"/>
  <c r="V12" i="7"/>
  <c r="U15" i="7"/>
  <c r="U14" i="7"/>
  <c r="U13" i="7"/>
  <c r="U12" i="7"/>
  <c r="T12" i="7"/>
  <c r="S12" i="7"/>
  <c r="R12" i="7"/>
  <c r="Q12" i="7"/>
  <c r="P12" i="7"/>
  <c r="O12" i="7"/>
  <c r="N12" i="7"/>
  <c r="M12" i="7"/>
  <c r="L12" i="7"/>
  <c r="K12" i="7"/>
  <c r="J12" i="7"/>
  <c r="I12" i="7"/>
  <c r="H12" i="7"/>
  <c r="G12" i="7"/>
  <c r="F12" i="7"/>
  <c r="E12" i="7"/>
  <c r="D12" i="7"/>
  <c r="C12" i="7"/>
  <c r="B12" i="7"/>
  <c r="A23" i="7"/>
  <c r="A22" i="7"/>
  <c r="A21" i="7"/>
  <c r="A19" i="7"/>
  <c r="A18" i="7"/>
  <c r="A17" i="7"/>
  <c r="A15" i="7"/>
  <c r="A14" i="7"/>
  <c r="A13" i="7"/>
  <c r="A10" i="7"/>
  <c r="A9" i="7"/>
  <c r="A8" i="7"/>
  <c r="V38" i="7"/>
  <c r="U38" i="7"/>
  <c r="T38" i="7"/>
  <c r="S38" i="7"/>
  <c r="V37" i="7"/>
  <c r="V19" i="7" s="1"/>
  <c r="U37" i="7"/>
  <c r="U16" i="7" s="1"/>
  <c r="T37" i="7"/>
  <c r="S37" i="7"/>
  <c r="V29" i="7"/>
  <c r="V37" i="9" s="1"/>
  <c r="U29" i="7"/>
  <c r="U37" i="9" s="1"/>
  <c r="V5" i="7"/>
  <c r="V9" i="9" s="1"/>
  <c r="V10" i="9" s="1"/>
  <c r="U5" i="7"/>
  <c r="U9" i="9" s="1"/>
  <c r="U10" i="9" s="1"/>
  <c r="V4" i="7"/>
  <c r="U4" i="7"/>
  <c r="T4" i="7"/>
  <c r="S4" i="7"/>
  <c r="R25" i="5"/>
  <c r="Q25" i="5"/>
  <c r="N25" i="5"/>
  <c r="M25" i="5"/>
  <c r="L25" i="5"/>
  <c r="R24" i="5"/>
  <c r="Q24" i="5"/>
  <c r="N24" i="5"/>
  <c r="M24" i="5"/>
  <c r="L24" i="5"/>
  <c r="R23" i="5"/>
  <c r="Q23" i="5"/>
  <c r="N23" i="5"/>
  <c r="M23" i="5"/>
  <c r="L23" i="5"/>
  <c r="R22" i="5"/>
  <c r="Q22" i="5"/>
  <c r="N22" i="5"/>
  <c r="M22" i="5"/>
  <c r="L22" i="5"/>
  <c r="H4" i="3"/>
  <c r="H5" i="3"/>
  <c r="H6" i="3"/>
  <c r="H7" i="3"/>
  <c r="H8" i="3"/>
  <c r="H9" i="3"/>
  <c r="H10" i="3"/>
  <c r="H11" i="3"/>
  <c r="H12" i="3"/>
  <c r="H13" i="3"/>
  <c r="H14" i="3"/>
  <c r="H15" i="3"/>
  <c r="H16" i="3"/>
  <c r="H17" i="3"/>
  <c r="H18" i="3"/>
  <c r="H19" i="3"/>
  <c r="H20" i="3"/>
  <c r="H21" i="3"/>
  <c r="S29" i="7" s="1"/>
  <c r="S37" i="9" s="1"/>
  <c r="H22" i="3"/>
  <c r="T29" i="7" s="1"/>
  <c r="T37" i="9" s="1"/>
  <c r="C4" i="4"/>
  <c r="R38" i="7"/>
  <c r="Q38" i="7"/>
  <c r="P38" i="7"/>
  <c r="P20" i="7" s="1"/>
  <c r="O38" i="7"/>
  <c r="N38" i="7"/>
  <c r="M38" i="7"/>
  <c r="L38" i="7"/>
  <c r="L20" i="7" s="1"/>
  <c r="K38" i="7"/>
  <c r="K20" i="7" s="1"/>
  <c r="J38" i="7"/>
  <c r="I38" i="7"/>
  <c r="H38" i="7"/>
  <c r="G38" i="7"/>
  <c r="F38" i="7"/>
  <c r="E38" i="7"/>
  <c r="D38" i="7"/>
  <c r="C38" i="7"/>
  <c r="C23" i="7" s="1"/>
  <c r="B38" i="7"/>
  <c r="B23" i="7" s="1"/>
  <c r="R37" i="7"/>
  <c r="Q37" i="7"/>
  <c r="Q16" i="7" s="1"/>
  <c r="P37" i="7"/>
  <c r="P16" i="7" s="1"/>
  <c r="O37" i="7"/>
  <c r="N37" i="7"/>
  <c r="M37" i="7"/>
  <c r="L37" i="7"/>
  <c r="K37" i="7"/>
  <c r="K16" i="7" s="1"/>
  <c r="J37" i="7"/>
  <c r="I37" i="7"/>
  <c r="I16" i="7" s="1"/>
  <c r="H37" i="7"/>
  <c r="H16" i="7" s="1"/>
  <c r="G37" i="7"/>
  <c r="F37" i="7"/>
  <c r="E37" i="7"/>
  <c r="E16" i="7" s="1"/>
  <c r="D37" i="7"/>
  <c r="D16" i="7" s="1"/>
  <c r="C37" i="7"/>
  <c r="B37" i="7"/>
  <c r="B19" i="7" s="1"/>
  <c r="R4" i="7"/>
  <c r="Q4" i="7"/>
  <c r="P4" i="7"/>
  <c r="O4" i="7"/>
  <c r="N4" i="7"/>
  <c r="M4" i="7"/>
  <c r="L4" i="7"/>
  <c r="K4" i="7"/>
  <c r="J4" i="7"/>
  <c r="I4" i="7"/>
  <c r="H4" i="7"/>
  <c r="G4" i="7"/>
  <c r="F4" i="7"/>
  <c r="E4" i="7"/>
  <c r="D4" i="7"/>
  <c r="C4" i="7"/>
  <c r="B4" i="7"/>
  <c r="W22" i="6"/>
  <c r="V22" i="6"/>
  <c r="U22" i="6"/>
  <c r="T22" i="6"/>
  <c r="S22" i="6"/>
  <c r="R22" i="6"/>
  <c r="Q22" i="6"/>
  <c r="P22" i="6"/>
  <c r="O22" i="6"/>
  <c r="N22" i="6"/>
  <c r="M22" i="6"/>
  <c r="L22" i="6"/>
  <c r="K22" i="6"/>
  <c r="J22" i="6"/>
  <c r="I22" i="6"/>
  <c r="H22" i="6"/>
  <c r="G22" i="6"/>
  <c r="F22" i="6"/>
  <c r="E22" i="6"/>
  <c r="D22" i="6"/>
  <c r="C22" i="6"/>
  <c r="B22" i="6"/>
  <c r="A22" i="6"/>
  <c r="W21" i="6"/>
  <c r="V21" i="6"/>
  <c r="U21" i="6"/>
  <c r="T21" i="6"/>
  <c r="S21" i="6"/>
  <c r="R21" i="6"/>
  <c r="Q21" i="6"/>
  <c r="P21" i="6"/>
  <c r="O21" i="6"/>
  <c r="N21" i="6"/>
  <c r="M21" i="6"/>
  <c r="L21" i="6"/>
  <c r="K21" i="6"/>
  <c r="J21" i="6"/>
  <c r="I21" i="6"/>
  <c r="H21" i="6"/>
  <c r="G21" i="6"/>
  <c r="F21" i="6"/>
  <c r="E21" i="6"/>
  <c r="D21" i="6"/>
  <c r="C21" i="6"/>
  <c r="B21" i="6"/>
  <c r="A21" i="6"/>
  <c r="W20" i="6"/>
  <c r="V20" i="6"/>
  <c r="U20" i="6"/>
  <c r="T20" i="6"/>
  <c r="S20" i="6"/>
  <c r="R20" i="6"/>
  <c r="Q20" i="6"/>
  <c r="P20" i="6"/>
  <c r="O20" i="6"/>
  <c r="N20" i="6"/>
  <c r="M20" i="6"/>
  <c r="L20" i="6"/>
  <c r="K20" i="6"/>
  <c r="J20" i="6"/>
  <c r="I20" i="6"/>
  <c r="H20" i="6"/>
  <c r="G20" i="6"/>
  <c r="F20" i="6"/>
  <c r="E20" i="6"/>
  <c r="D20" i="6"/>
  <c r="C20" i="6"/>
  <c r="B20" i="6"/>
  <c r="A20" i="6"/>
  <c r="W19" i="6"/>
  <c r="V19" i="6"/>
  <c r="U19" i="6"/>
  <c r="T19" i="6"/>
  <c r="S19" i="6"/>
  <c r="R19" i="6"/>
  <c r="Q19" i="6"/>
  <c r="P19" i="6"/>
  <c r="O19" i="6"/>
  <c r="N19" i="6"/>
  <c r="M19" i="6"/>
  <c r="L19" i="6"/>
  <c r="K19" i="6"/>
  <c r="J19" i="6"/>
  <c r="I19" i="6"/>
  <c r="H19" i="6"/>
  <c r="G19" i="6"/>
  <c r="F19" i="6"/>
  <c r="E19" i="6"/>
  <c r="D19" i="6"/>
  <c r="C19" i="6"/>
  <c r="B19" i="6"/>
  <c r="A19" i="6"/>
  <c r="W18" i="6"/>
  <c r="V18" i="6"/>
  <c r="U18" i="6"/>
  <c r="T18" i="6"/>
  <c r="S18" i="6"/>
  <c r="R18" i="6"/>
  <c r="Q18" i="6"/>
  <c r="P18" i="6"/>
  <c r="O18" i="6"/>
  <c r="N18" i="6"/>
  <c r="M18" i="6"/>
  <c r="L18" i="6"/>
  <c r="K18" i="6"/>
  <c r="J18" i="6"/>
  <c r="I18" i="6"/>
  <c r="H18" i="6"/>
  <c r="G18" i="6"/>
  <c r="F18" i="6"/>
  <c r="E18" i="6"/>
  <c r="D18" i="6"/>
  <c r="C18" i="6"/>
  <c r="B18" i="6"/>
  <c r="A18" i="6"/>
  <c r="W17" i="6"/>
  <c r="V17" i="6"/>
  <c r="U17" i="6"/>
  <c r="T17" i="6"/>
  <c r="S17" i="6"/>
  <c r="R17" i="6"/>
  <c r="Q17" i="6"/>
  <c r="P17" i="6"/>
  <c r="O17" i="6"/>
  <c r="N17" i="6"/>
  <c r="M17" i="6"/>
  <c r="L17" i="6"/>
  <c r="K17" i="6"/>
  <c r="J17" i="6"/>
  <c r="I17" i="6"/>
  <c r="H17" i="6"/>
  <c r="G17" i="6"/>
  <c r="F17" i="6"/>
  <c r="E17" i="6"/>
  <c r="D17" i="6"/>
  <c r="C17" i="6"/>
  <c r="B17" i="6"/>
  <c r="A17" i="6"/>
  <c r="W16" i="6"/>
  <c r="V16" i="6"/>
  <c r="U16" i="6"/>
  <c r="T16" i="6"/>
  <c r="S16" i="6"/>
  <c r="R16" i="6"/>
  <c r="Q16" i="6"/>
  <c r="P16" i="6"/>
  <c r="O16" i="6"/>
  <c r="N16" i="6"/>
  <c r="M16" i="6"/>
  <c r="L16" i="6"/>
  <c r="K16" i="6"/>
  <c r="J16" i="6"/>
  <c r="I16" i="6"/>
  <c r="H16" i="6"/>
  <c r="G16" i="6"/>
  <c r="F16" i="6"/>
  <c r="E16" i="6"/>
  <c r="D16" i="6"/>
  <c r="C16" i="6"/>
  <c r="B16" i="6"/>
  <c r="A16" i="6"/>
  <c r="W15" i="6"/>
  <c r="V15" i="6"/>
  <c r="U15" i="6"/>
  <c r="T15" i="6"/>
  <c r="S15" i="6"/>
  <c r="R15" i="6"/>
  <c r="Q15" i="6"/>
  <c r="P15" i="6"/>
  <c r="O15" i="6"/>
  <c r="N15" i="6"/>
  <c r="M15" i="6"/>
  <c r="L15" i="6"/>
  <c r="K15" i="6"/>
  <c r="J15" i="6"/>
  <c r="I15" i="6"/>
  <c r="H15" i="6"/>
  <c r="G15" i="6"/>
  <c r="F15" i="6"/>
  <c r="E15" i="6"/>
  <c r="D15" i="6"/>
  <c r="C15" i="6"/>
  <c r="B15" i="6"/>
  <c r="A15" i="6"/>
  <c r="W14" i="6"/>
  <c r="V14" i="6"/>
  <c r="U14" i="6"/>
  <c r="T14" i="6"/>
  <c r="S14" i="6"/>
  <c r="R14" i="6"/>
  <c r="Q14" i="6"/>
  <c r="P14" i="6"/>
  <c r="O14" i="6"/>
  <c r="N14" i="6"/>
  <c r="M14" i="6"/>
  <c r="L14" i="6"/>
  <c r="K14" i="6"/>
  <c r="J14" i="6"/>
  <c r="I14" i="6"/>
  <c r="H14" i="6"/>
  <c r="G14" i="6"/>
  <c r="F14" i="6"/>
  <c r="E14" i="6"/>
  <c r="D14" i="6"/>
  <c r="C14" i="6"/>
  <c r="B14" i="6"/>
  <c r="A14" i="6"/>
  <c r="W13" i="6"/>
  <c r="V13" i="6"/>
  <c r="U13" i="6"/>
  <c r="T13" i="6"/>
  <c r="S13" i="6"/>
  <c r="R13" i="6"/>
  <c r="Q13" i="6"/>
  <c r="P13" i="6"/>
  <c r="O13" i="6"/>
  <c r="N13" i="6"/>
  <c r="M13" i="6"/>
  <c r="L13" i="6"/>
  <c r="K13" i="6"/>
  <c r="J13" i="6"/>
  <c r="I13" i="6"/>
  <c r="H13" i="6"/>
  <c r="G13" i="6"/>
  <c r="F13" i="6"/>
  <c r="E13" i="6"/>
  <c r="D13" i="6"/>
  <c r="C13" i="6"/>
  <c r="B13" i="6"/>
  <c r="A13" i="6"/>
  <c r="W12" i="6"/>
  <c r="V12" i="6"/>
  <c r="U12" i="6"/>
  <c r="T12" i="6"/>
  <c r="S12" i="6"/>
  <c r="R12" i="6"/>
  <c r="Q12" i="6"/>
  <c r="P12" i="6"/>
  <c r="O12" i="6"/>
  <c r="N12" i="6"/>
  <c r="M12" i="6"/>
  <c r="L12" i="6"/>
  <c r="K12" i="6"/>
  <c r="J12" i="6"/>
  <c r="I12" i="6"/>
  <c r="H12" i="6"/>
  <c r="G12" i="6"/>
  <c r="F12" i="6"/>
  <c r="E12" i="6"/>
  <c r="D12" i="6"/>
  <c r="C12" i="6"/>
  <c r="B12" i="6"/>
  <c r="A12" i="6"/>
  <c r="W11" i="6"/>
  <c r="V11" i="6"/>
  <c r="U11" i="6"/>
  <c r="T11" i="6"/>
  <c r="S11" i="6"/>
  <c r="R11" i="6"/>
  <c r="Q11" i="6"/>
  <c r="P11" i="6"/>
  <c r="O11" i="6"/>
  <c r="N11" i="6"/>
  <c r="M11" i="6"/>
  <c r="L11" i="6"/>
  <c r="K11" i="6"/>
  <c r="J11" i="6"/>
  <c r="I11" i="6"/>
  <c r="H11" i="6"/>
  <c r="G11" i="6"/>
  <c r="F11" i="6"/>
  <c r="E11" i="6"/>
  <c r="D11" i="6"/>
  <c r="C11" i="6"/>
  <c r="B11" i="6"/>
  <c r="A11" i="6"/>
  <c r="W10" i="6"/>
  <c r="V10" i="6"/>
  <c r="U10" i="6"/>
  <c r="T10" i="6"/>
  <c r="S10" i="6"/>
  <c r="R10" i="6"/>
  <c r="Q10" i="6"/>
  <c r="P10" i="6"/>
  <c r="O10" i="6"/>
  <c r="N10" i="6"/>
  <c r="M10" i="6"/>
  <c r="L10" i="6"/>
  <c r="K10" i="6"/>
  <c r="J10" i="6"/>
  <c r="I10" i="6"/>
  <c r="H10" i="6"/>
  <c r="G10" i="6"/>
  <c r="F10" i="6"/>
  <c r="E10" i="6"/>
  <c r="D10" i="6"/>
  <c r="C10" i="6"/>
  <c r="B10" i="6"/>
  <c r="A10" i="6"/>
  <c r="W9" i="6"/>
  <c r="V9" i="6"/>
  <c r="U9" i="6"/>
  <c r="T9" i="6"/>
  <c r="S9" i="6"/>
  <c r="R9" i="6"/>
  <c r="Q9" i="6"/>
  <c r="P9" i="6"/>
  <c r="O9" i="6"/>
  <c r="N9" i="6"/>
  <c r="M9" i="6"/>
  <c r="L9" i="6"/>
  <c r="K9" i="6"/>
  <c r="J9" i="6"/>
  <c r="I9" i="6"/>
  <c r="H9" i="6"/>
  <c r="G9" i="6"/>
  <c r="F9" i="6"/>
  <c r="E9" i="6"/>
  <c r="D9" i="6"/>
  <c r="C9" i="6"/>
  <c r="B9" i="6"/>
  <c r="A9" i="6"/>
  <c r="W8" i="6"/>
  <c r="V8" i="6"/>
  <c r="U8" i="6"/>
  <c r="T8" i="6"/>
  <c r="S8" i="6"/>
  <c r="R8" i="6"/>
  <c r="Q8" i="6"/>
  <c r="P8" i="6"/>
  <c r="O8" i="6"/>
  <c r="N8" i="6"/>
  <c r="M8" i="6"/>
  <c r="L8" i="6"/>
  <c r="K8" i="6"/>
  <c r="J8" i="6"/>
  <c r="I8" i="6"/>
  <c r="H8" i="6"/>
  <c r="G8" i="6"/>
  <c r="F8" i="6"/>
  <c r="E8" i="6"/>
  <c r="D8" i="6"/>
  <c r="C8" i="6"/>
  <c r="B8" i="6"/>
  <c r="A8" i="6"/>
  <c r="W7" i="6"/>
  <c r="V7" i="6"/>
  <c r="U7" i="6"/>
  <c r="T7" i="6"/>
  <c r="S7" i="6"/>
  <c r="R7" i="6"/>
  <c r="Q7" i="6"/>
  <c r="P7" i="6"/>
  <c r="O7" i="6"/>
  <c r="N7" i="6"/>
  <c r="M7" i="6"/>
  <c r="L7" i="6"/>
  <c r="K7" i="6"/>
  <c r="J7" i="6"/>
  <c r="I7" i="6"/>
  <c r="H7" i="6"/>
  <c r="G7" i="6"/>
  <c r="F7" i="6"/>
  <c r="E7" i="6"/>
  <c r="D7" i="6"/>
  <c r="C7" i="6"/>
  <c r="B7" i="6"/>
  <c r="A7" i="6"/>
  <c r="W6" i="6"/>
  <c r="V6" i="6"/>
  <c r="U6" i="6"/>
  <c r="T6" i="6"/>
  <c r="S6" i="6"/>
  <c r="R6" i="6"/>
  <c r="Q6" i="6"/>
  <c r="P6" i="6"/>
  <c r="O6" i="6"/>
  <c r="N6" i="6"/>
  <c r="M6" i="6"/>
  <c r="L6" i="6"/>
  <c r="K6" i="6"/>
  <c r="J6" i="6"/>
  <c r="I6" i="6"/>
  <c r="H6" i="6"/>
  <c r="G6" i="6"/>
  <c r="F6" i="6"/>
  <c r="E6" i="6"/>
  <c r="D6" i="6"/>
  <c r="C6" i="6"/>
  <c r="B6" i="6"/>
  <c r="A6" i="6"/>
  <c r="W5" i="6"/>
  <c r="V5" i="6"/>
  <c r="U5" i="6"/>
  <c r="T5" i="6"/>
  <c r="S5" i="6"/>
  <c r="R5" i="6"/>
  <c r="Q5" i="6"/>
  <c r="P5" i="6"/>
  <c r="O5" i="6"/>
  <c r="N5" i="6"/>
  <c r="M5" i="6"/>
  <c r="L5" i="6"/>
  <c r="K5" i="6"/>
  <c r="J5" i="6"/>
  <c r="I5" i="6"/>
  <c r="H5" i="6"/>
  <c r="G5" i="6"/>
  <c r="F5" i="6"/>
  <c r="E5" i="6"/>
  <c r="D5" i="6"/>
  <c r="C5" i="6"/>
  <c r="B5" i="6"/>
  <c r="A5" i="6"/>
  <c r="W4" i="6"/>
  <c r="V4" i="6"/>
  <c r="U4" i="6"/>
  <c r="T4" i="6"/>
  <c r="S4" i="6"/>
  <c r="R4" i="6"/>
  <c r="Q4" i="6"/>
  <c r="P4" i="6"/>
  <c r="O4" i="6"/>
  <c r="N4" i="6"/>
  <c r="M4" i="6"/>
  <c r="L4" i="6"/>
  <c r="K4" i="6"/>
  <c r="J4" i="6"/>
  <c r="I4" i="6"/>
  <c r="H4" i="6"/>
  <c r="G4" i="6"/>
  <c r="F4" i="6"/>
  <c r="E4" i="6"/>
  <c r="D4" i="6"/>
  <c r="C4" i="6"/>
  <c r="B4" i="6"/>
  <c r="A4" i="6"/>
  <c r="R21" i="5"/>
  <c r="Q21" i="5"/>
  <c r="N21" i="5"/>
  <c r="M21" i="5"/>
  <c r="L21" i="5"/>
  <c r="R20" i="5"/>
  <c r="Q20" i="5"/>
  <c r="N20" i="5"/>
  <c r="M20" i="5"/>
  <c r="L20" i="5"/>
  <c r="R19" i="5"/>
  <c r="Q19" i="5"/>
  <c r="N19" i="5"/>
  <c r="M19" i="5"/>
  <c r="L19" i="5"/>
  <c r="R18" i="5"/>
  <c r="Q18" i="5"/>
  <c r="N18" i="5"/>
  <c r="M18" i="5"/>
  <c r="L18" i="5"/>
  <c r="R17" i="5"/>
  <c r="Q17" i="5"/>
  <c r="N17" i="5"/>
  <c r="M17" i="5"/>
  <c r="L17" i="5"/>
  <c r="R16" i="5"/>
  <c r="Q16" i="5"/>
  <c r="N16" i="5"/>
  <c r="M16" i="5"/>
  <c r="L16" i="5"/>
  <c r="R15" i="5"/>
  <c r="Q15" i="5"/>
  <c r="N15" i="5"/>
  <c r="M15" i="5"/>
  <c r="L15" i="5"/>
  <c r="R14" i="5"/>
  <c r="Q14" i="5"/>
  <c r="N14" i="5"/>
  <c r="M14" i="5"/>
  <c r="L14" i="5"/>
  <c r="R13" i="5"/>
  <c r="Q13" i="5"/>
  <c r="N13" i="5"/>
  <c r="M13" i="5"/>
  <c r="L13" i="5"/>
  <c r="R12" i="5"/>
  <c r="Q12" i="5"/>
  <c r="N12" i="5"/>
  <c r="M12" i="5"/>
  <c r="L12" i="5"/>
  <c r="R11" i="5"/>
  <c r="Q11" i="5"/>
  <c r="N11" i="5"/>
  <c r="M11" i="5"/>
  <c r="L11" i="5"/>
  <c r="R10" i="5"/>
  <c r="Q10" i="5"/>
  <c r="N10" i="5"/>
  <c r="M10" i="5"/>
  <c r="L10" i="5"/>
  <c r="R9" i="5"/>
  <c r="Q9" i="5"/>
  <c r="N9" i="5"/>
  <c r="M9" i="5"/>
  <c r="L9" i="5"/>
  <c r="R8" i="5"/>
  <c r="Q8" i="5"/>
  <c r="N8" i="5"/>
  <c r="M8" i="5"/>
  <c r="L8" i="5"/>
  <c r="R7" i="5"/>
  <c r="Q7" i="5"/>
  <c r="N7" i="5"/>
  <c r="M7" i="5"/>
  <c r="L7" i="5"/>
  <c r="R6" i="5"/>
  <c r="Q6" i="5"/>
  <c r="N6" i="5"/>
  <c r="M6" i="5"/>
  <c r="L6" i="5"/>
  <c r="R5" i="5"/>
  <c r="Q5" i="5"/>
  <c r="N5" i="5"/>
  <c r="M5" i="5"/>
  <c r="L5" i="5"/>
  <c r="N4" i="5"/>
  <c r="M4" i="5"/>
  <c r="L4" i="5"/>
  <c r="K4" i="5"/>
  <c r="J4" i="5"/>
  <c r="I4" i="5"/>
  <c r="G4" i="5"/>
  <c r="F4" i="5"/>
  <c r="E4" i="5"/>
  <c r="D4" i="5"/>
  <c r="C4" i="5"/>
  <c r="B4" i="5"/>
  <c r="I22" i="4"/>
  <c r="H22" i="4"/>
  <c r="G22" i="4"/>
  <c r="F22" i="4"/>
  <c r="T15" i="7" s="1"/>
  <c r="E22" i="4"/>
  <c r="T14" i="7" s="1"/>
  <c r="D22" i="4"/>
  <c r="C22" i="4"/>
  <c r="B22" i="4"/>
  <c r="A22" i="4"/>
  <c r="I21" i="4"/>
  <c r="H21" i="4"/>
  <c r="G21" i="4"/>
  <c r="F21" i="4"/>
  <c r="S15" i="7" s="1"/>
  <c r="E21" i="4"/>
  <c r="S14" i="7" s="1"/>
  <c r="D21" i="4"/>
  <c r="C21" i="4"/>
  <c r="B21" i="4"/>
  <c r="A21" i="4"/>
  <c r="I20" i="4"/>
  <c r="H20" i="4"/>
  <c r="G20" i="4"/>
  <c r="F20" i="4"/>
  <c r="R15" i="7" s="1"/>
  <c r="E20" i="4"/>
  <c r="R14" i="7" s="1"/>
  <c r="D20" i="4"/>
  <c r="R13" i="7" s="1"/>
  <c r="C20" i="4"/>
  <c r="B20" i="4"/>
  <c r="A20" i="4"/>
  <c r="I19" i="4"/>
  <c r="H19" i="4"/>
  <c r="G19" i="4"/>
  <c r="F19" i="4"/>
  <c r="Q15" i="7" s="1"/>
  <c r="E19" i="4"/>
  <c r="Q14" i="7" s="1"/>
  <c r="D19" i="4"/>
  <c r="R17" i="7" s="1"/>
  <c r="C19" i="4"/>
  <c r="B19" i="4"/>
  <c r="A19" i="4"/>
  <c r="I18" i="4"/>
  <c r="H18" i="4"/>
  <c r="G18" i="4"/>
  <c r="F18" i="4"/>
  <c r="P15" i="7" s="1"/>
  <c r="E18" i="4"/>
  <c r="P14" i="7" s="1"/>
  <c r="D18" i="4"/>
  <c r="C18" i="4"/>
  <c r="B18" i="4"/>
  <c r="A18" i="4"/>
  <c r="I17" i="4"/>
  <c r="H17" i="4"/>
  <c r="G17" i="4"/>
  <c r="F17" i="4"/>
  <c r="O15" i="7" s="1"/>
  <c r="E17" i="4"/>
  <c r="O14" i="7" s="1"/>
  <c r="D17" i="4"/>
  <c r="C17" i="4"/>
  <c r="B17" i="4"/>
  <c r="A17" i="4"/>
  <c r="I16" i="4"/>
  <c r="H16" i="4"/>
  <c r="G16" i="4"/>
  <c r="F16" i="4"/>
  <c r="N15" i="7" s="1"/>
  <c r="E16" i="4"/>
  <c r="N14" i="7" s="1"/>
  <c r="D16" i="4"/>
  <c r="N13" i="7" s="1"/>
  <c r="C16" i="4"/>
  <c r="B16" i="4"/>
  <c r="A16" i="4"/>
  <c r="I15" i="4"/>
  <c r="H15" i="4"/>
  <c r="G15" i="4"/>
  <c r="F15" i="4"/>
  <c r="M15" i="7" s="1"/>
  <c r="E15" i="4"/>
  <c r="M14" i="7" s="1"/>
  <c r="D15" i="4"/>
  <c r="M13" i="7" s="1"/>
  <c r="C15" i="4"/>
  <c r="B15" i="4"/>
  <c r="A15" i="4"/>
  <c r="I14" i="4"/>
  <c r="H14" i="4"/>
  <c r="G14" i="4"/>
  <c r="F14" i="4"/>
  <c r="L15" i="7" s="1"/>
  <c r="E14" i="4"/>
  <c r="L14" i="7" s="1"/>
  <c r="D14" i="4"/>
  <c r="C14" i="4"/>
  <c r="B14" i="4"/>
  <c r="A14" i="4"/>
  <c r="I13" i="4"/>
  <c r="H13" i="4"/>
  <c r="G13" i="4"/>
  <c r="F13" i="4"/>
  <c r="K15" i="7" s="1"/>
  <c r="E13" i="4"/>
  <c r="K14" i="7" s="1"/>
  <c r="D13" i="4"/>
  <c r="K13" i="7" s="1"/>
  <c r="C13" i="4"/>
  <c r="B13" i="4"/>
  <c r="A13" i="4"/>
  <c r="I12" i="4"/>
  <c r="H12" i="4"/>
  <c r="G12" i="4"/>
  <c r="F12" i="4"/>
  <c r="J15" i="7" s="1"/>
  <c r="E12" i="4"/>
  <c r="J14" i="7" s="1"/>
  <c r="D12" i="4"/>
  <c r="J13" i="7" s="1"/>
  <c r="C12" i="4"/>
  <c r="B12" i="4"/>
  <c r="A12" i="4"/>
  <c r="I11" i="4"/>
  <c r="H11" i="4"/>
  <c r="G11" i="4"/>
  <c r="F11" i="4"/>
  <c r="I15" i="7" s="1"/>
  <c r="E11" i="4"/>
  <c r="I14" i="7" s="1"/>
  <c r="D11" i="4"/>
  <c r="C11" i="4"/>
  <c r="B11" i="4"/>
  <c r="A11" i="4"/>
  <c r="I10" i="4"/>
  <c r="H10" i="4"/>
  <c r="G10" i="4"/>
  <c r="F10" i="4"/>
  <c r="H15" i="7" s="1"/>
  <c r="E10" i="4"/>
  <c r="H14" i="7" s="1"/>
  <c r="D10" i="4"/>
  <c r="I17" i="7" s="1"/>
  <c r="C10" i="4"/>
  <c r="B10" i="4"/>
  <c r="A10" i="4"/>
  <c r="I9" i="4"/>
  <c r="H9" i="4"/>
  <c r="G9" i="4"/>
  <c r="F9" i="4"/>
  <c r="G15" i="7" s="1"/>
  <c r="E9" i="4"/>
  <c r="G14" i="7" s="1"/>
  <c r="D9" i="4"/>
  <c r="C9" i="4"/>
  <c r="B9" i="4"/>
  <c r="A9" i="4"/>
  <c r="I8" i="4"/>
  <c r="H8" i="4"/>
  <c r="G8" i="4"/>
  <c r="F8" i="4"/>
  <c r="F15" i="7" s="1"/>
  <c r="E8" i="4"/>
  <c r="F14" i="7" s="1"/>
  <c r="D8" i="4"/>
  <c r="F13" i="7" s="1"/>
  <c r="C8" i="4"/>
  <c r="B8" i="4"/>
  <c r="A8" i="4"/>
  <c r="I7" i="4"/>
  <c r="H7" i="4"/>
  <c r="G7" i="4"/>
  <c r="F7" i="4"/>
  <c r="E15" i="7" s="1"/>
  <c r="E7" i="4"/>
  <c r="E14" i="7" s="1"/>
  <c r="D7" i="4"/>
  <c r="F17" i="7" s="1"/>
  <c r="C7" i="4"/>
  <c r="B7" i="4"/>
  <c r="A7" i="4"/>
  <c r="I6" i="4"/>
  <c r="H6" i="4"/>
  <c r="G6" i="4"/>
  <c r="F6" i="4"/>
  <c r="D15" i="7" s="1"/>
  <c r="E6" i="4"/>
  <c r="D14" i="7" s="1"/>
  <c r="D6" i="4"/>
  <c r="C6" i="4"/>
  <c r="B6" i="4"/>
  <c r="A6" i="4"/>
  <c r="I5" i="4"/>
  <c r="H5" i="4"/>
  <c r="G5" i="4"/>
  <c r="F5" i="4"/>
  <c r="C15" i="7" s="1"/>
  <c r="E5" i="4"/>
  <c r="C14" i="7" s="1"/>
  <c r="D5" i="4"/>
  <c r="C5" i="4"/>
  <c r="B5" i="4"/>
  <c r="A5" i="4"/>
  <c r="I4" i="4"/>
  <c r="H4" i="4"/>
  <c r="G4" i="4"/>
  <c r="F4" i="4"/>
  <c r="B15" i="7" s="1"/>
  <c r="E4" i="4"/>
  <c r="B14" i="7" s="1"/>
  <c r="D4" i="4"/>
  <c r="B13" i="7" s="1"/>
  <c r="B4" i="4"/>
  <c r="A4" i="4"/>
  <c r="I3" i="4"/>
  <c r="H3" i="4"/>
  <c r="G3" i="4"/>
  <c r="F3" i="4"/>
  <c r="E3" i="4"/>
  <c r="D3" i="4"/>
  <c r="C23" i="3"/>
  <c r="L22" i="3"/>
  <c r="G22" i="3"/>
  <c r="D22" i="3"/>
  <c r="E22" i="3" s="1"/>
  <c r="T5" i="7" s="1"/>
  <c r="T9" i="9" s="1"/>
  <c r="T10" i="9" s="1"/>
  <c r="L21" i="3"/>
  <c r="G21" i="3"/>
  <c r="D21" i="3"/>
  <c r="E21" i="3" s="1"/>
  <c r="S5" i="7" s="1"/>
  <c r="S9" i="9" s="1"/>
  <c r="S10" i="9" s="1"/>
  <c r="L20" i="3"/>
  <c r="G20" i="3"/>
  <c r="D20" i="3"/>
  <c r="E20" i="3" s="1"/>
  <c r="L19" i="3"/>
  <c r="G19" i="3"/>
  <c r="D19" i="3"/>
  <c r="E19" i="3" s="1"/>
  <c r="L18" i="3"/>
  <c r="G18" i="3"/>
  <c r="D18" i="3"/>
  <c r="E18" i="3" s="1"/>
  <c r="L17" i="3"/>
  <c r="G17" i="3"/>
  <c r="D17" i="3"/>
  <c r="E17" i="3" s="1"/>
  <c r="L16" i="3"/>
  <c r="G16" i="3"/>
  <c r="D16" i="3"/>
  <c r="E16" i="3" s="1"/>
  <c r="L15" i="3"/>
  <c r="G15" i="3"/>
  <c r="D15" i="3"/>
  <c r="E15" i="3" s="1"/>
  <c r="L14" i="3"/>
  <c r="G14" i="3"/>
  <c r="D14" i="3"/>
  <c r="E14" i="3" s="1"/>
  <c r="L13" i="3"/>
  <c r="G13" i="3"/>
  <c r="D13" i="3"/>
  <c r="E13" i="3" s="1"/>
  <c r="L12" i="3"/>
  <c r="G12" i="3"/>
  <c r="D12" i="3"/>
  <c r="E12" i="3" s="1"/>
  <c r="L11" i="3"/>
  <c r="G11" i="3"/>
  <c r="D11" i="3"/>
  <c r="E11" i="3" s="1"/>
  <c r="L10" i="3"/>
  <c r="G10" i="3"/>
  <c r="D10" i="3"/>
  <c r="E10" i="3" s="1"/>
  <c r="L9" i="3"/>
  <c r="G9" i="3"/>
  <c r="D9" i="3"/>
  <c r="E9" i="3" s="1"/>
  <c r="L8" i="3"/>
  <c r="G8" i="3"/>
  <c r="D8" i="3"/>
  <c r="E8" i="3" s="1"/>
  <c r="L7" i="3"/>
  <c r="G7" i="3"/>
  <c r="D7" i="3"/>
  <c r="E7" i="3" s="1"/>
  <c r="L6" i="3"/>
  <c r="G6" i="3"/>
  <c r="D6" i="3"/>
  <c r="E6" i="3" s="1"/>
  <c r="L5" i="3"/>
  <c r="G5" i="3"/>
  <c r="D5" i="3"/>
  <c r="L4" i="3"/>
  <c r="G4" i="3"/>
  <c r="D4" i="3"/>
  <c r="E4" i="3" s="1"/>
  <c r="D12" i="2"/>
  <c r="D13" i="2" s="1"/>
  <c r="B40" i="1" s="1"/>
  <c r="D11" i="2"/>
  <c r="B22" i="1" s="1"/>
  <c r="K9" i="2"/>
  <c r="I9" i="2"/>
  <c r="E9" i="2"/>
  <c r="K8" i="2"/>
  <c r="I8" i="2"/>
  <c r="E8" i="2"/>
  <c r="K7" i="2"/>
  <c r="I7" i="2"/>
  <c r="E7" i="2"/>
  <c r="I6" i="2"/>
  <c r="K6" i="2" s="1"/>
  <c r="E6" i="2"/>
  <c r="I5" i="2"/>
  <c r="K5" i="2" s="1"/>
  <c r="E5" i="2"/>
  <c r="I4" i="2"/>
  <c r="K4" i="2" s="1"/>
  <c r="E4" i="2"/>
  <c r="B45" i="1"/>
  <c r="B46" i="1" s="1"/>
  <c r="B41" i="1"/>
  <c r="B8" i="1"/>
  <c r="W22" i="9" l="1"/>
  <c r="D17" i="7"/>
  <c r="V21" i="7"/>
  <c r="E17" i="7"/>
  <c r="R21" i="7"/>
  <c r="H23" i="7"/>
  <c r="V16" i="7"/>
  <c r="Q17" i="7"/>
  <c r="F19" i="7"/>
  <c r="R19" i="7"/>
  <c r="C25" i="5"/>
  <c r="J25" i="5" s="1"/>
  <c r="V9" i="7" s="1"/>
  <c r="J17" i="7"/>
  <c r="S25" i="9"/>
  <c r="N23" i="3"/>
  <c r="P17" i="7"/>
  <c r="H25" i="9"/>
  <c r="R12" i="4"/>
  <c r="H26" i="9"/>
  <c r="J25" i="9"/>
  <c r="Q26" i="9"/>
  <c r="C20" i="7"/>
  <c r="Q7" i="4"/>
  <c r="S15" i="4"/>
  <c r="F21" i="7"/>
  <c r="C21" i="7"/>
  <c r="R16" i="7"/>
  <c r="T25" i="9"/>
  <c r="H17" i="7"/>
  <c r="B24" i="5"/>
  <c r="I24" i="5" s="1"/>
  <c r="S22" i="4"/>
  <c r="L19" i="7"/>
  <c r="G23" i="7"/>
  <c r="S19" i="7"/>
  <c r="T26" i="9"/>
  <c r="Q12" i="4"/>
  <c r="C19" i="7"/>
  <c r="O19" i="7"/>
  <c r="N19" i="7"/>
  <c r="F5" i="7"/>
  <c r="F9" i="9" s="1"/>
  <c r="F10" i="9" s="1"/>
  <c r="B26" i="9"/>
  <c r="T23" i="7"/>
  <c r="D25" i="9"/>
  <c r="Q19" i="4"/>
  <c r="R4" i="4"/>
  <c r="S9" i="4"/>
  <c r="Q11" i="4"/>
  <c r="R16" i="4"/>
  <c r="S21" i="4"/>
  <c r="I23" i="7"/>
  <c r="G19" i="7"/>
  <c r="N23" i="7"/>
  <c r="U23" i="7"/>
  <c r="K25" i="9"/>
  <c r="S4" i="4"/>
  <c r="Q6" i="4"/>
  <c r="R11" i="4"/>
  <c r="S16" i="4"/>
  <c r="Q18" i="4"/>
  <c r="H19" i="7"/>
  <c r="O23" i="7"/>
  <c r="V23" i="7"/>
  <c r="F16" i="7"/>
  <c r="K26" i="9"/>
  <c r="R6" i="4"/>
  <c r="S11" i="4"/>
  <c r="Q13" i="4"/>
  <c r="R18" i="4"/>
  <c r="M23" i="7"/>
  <c r="M17" i="7"/>
  <c r="B25" i="5"/>
  <c r="I25" i="5" s="1"/>
  <c r="V8" i="7" s="1"/>
  <c r="I19" i="7"/>
  <c r="D23" i="7"/>
  <c r="P23" i="7"/>
  <c r="M25" i="9"/>
  <c r="S6" i="4"/>
  <c r="Q8" i="4"/>
  <c r="R13" i="4"/>
  <c r="S18" i="4"/>
  <c r="Q20" i="4"/>
  <c r="J19" i="7"/>
  <c r="E23" i="7"/>
  <c r="Q23" i="7"/>
  <c r="L16" i="7"/>
  <c r="U20" i="7"/>
  <c r="N25" i="9"/>
  <c r="R8" i="4"/>
  <c r="S13" i="4"/>
  <c r="Q15" i="4"/>
  <c r="R20" i="4"/>
  <c r="K19" i="7"/>
  <c r="F23" i="7"/>
  <c r="R23" i="7"/>
  <c r="C16" i="7"/>
  <c r="G16" i="7"/>
  <c r="B25" i="9"/>
  <c r="N26" i="9"/>
  <c r="S8" i="4"/>
  <c r="Q10" i="4"/>
  <c r="R15" i="4"/>
  <c r="S20" i="4"/>
  <c r="Q22" i="4"/>
  <c r="Q5" i="4"/>
  <c r="R10" i="4"/>
  <c r="Q17" i="4"/>
  <c r="R22" i="4"/>
  <c r="M19" i="7"/>
  <c r="M16" i="7"/>
  <c r="R5" i="4"/>
  <c r="S10" i="4"/>
  <c r="R17" i="4"/>
  <c r="T19" i="7"/>
  <c r="S5" i="4"/>
  <c r="S17" i="4"/>
  <c r="U19" i="7"/>
  <c r="R7" i="4"/>
  <c r="S12" i="4"/>
  <c r="Q14" i="4"/>
  <c r="R19" i="4"/>
  <c r="J23" i="7"/>
  <c r="D19" i="7"/>
  <c r="P19" i="7"/>
  <c r="K23" i="7"/>
  <c r="D20" i="7"/>
  <c r="O16" i="7"/>
  <c r="T16" i="7"/>
  <c r="V17" i="7"/>
  <c r="V25" i="9"/>
  <c r="S7" i="4"/>
  <c r="Q9" i="4"/>
  <c r="R14" i="4"/>
  <c r="S19" i="4"/>
  <c r="Q21" i="4"/>
  <c r="W15" i="7"/>
  <c r="E19" i="7"/>
  <c r="Q19" i="7"/>
  <c r="L23" i="7"/>
  <c r="S23" i="7"/>
  <c r="J16" i="7"/>
  <c r="O20" i="7"/>
  <c r="V20" i="7"/>
  <c r="Q4" i="4"/>
  <c r="R9" i="4"/>
  <c r="S14" i="4"/>
  <c r="Q16" i="4"/>
  <c r="R21" i="4"/>
  <c r="T33" i="9"/>
  <c r="T31" i="7" s="1"/>
  <c r="N33" i="9"/>
  <c r="N31" i="7" s="1"/>
  <c r="B33" i="9"/>
  <c r="B31" i="7" s="1"/>
  <c r="W28" i="9"/>
  <c r="W14" i="7"/>
  <c r="B20" i="7"/>
  <c r="E20" i="7"/>
  <c r="F20" i="7"/>
  <c r="G20" i="7"/>
  <c r="H20" i="7"/>
  <c r="I20" i="7"/>
  <c r="J20" i="7"/>
  <c r="M20" i="7"/>
  <c r="N20" i="7"/>
  <c r="Q20" i="7"/>
  <c r="R20" i="7"/>
  <c r="S20" i="7"/>
  <c r="T20" i="7"/>
  <c r="F16" i="5"/>
  <c r="H21" i="7"/>
  <c r="J21" i="7"/>
  <c r="L21" i="7"/>
  <c r="O21" i="7"/>
  <c r="T21" i="7"/>
  <c r="C25" i="9"/>
  <c r="F25" i="9"/>
  <c r="I25" i="9"/>
  <c r="L25" i="9"/>
  <c r="O25" i="9"/>
  <c r="R25" i="9"/>
  <c r="U25" i="9"/>
  <c r="B21" i="7"/>
  <c r="D21" i="7"/>
  <c r="E21" i="7"/>
  <c r="G21" i="7"/>
  <c r="I21" i="7"/>
  <c r="K21" i="7"/>
  <c r="M21" i="7"/>
  <c r="N21" i="7"/>
  <c r="P21" i="7"/>
  <c r="Q21" i="7"/>
  <c r="S21" i="7"/>
  <c r="U21" i="7"/>
  <c r="B22" i="7"/>
  <c r="C22" i="7"/>
  <c r="D22" i="7"/>
  <c r="E22" i="7"/>
  <c r="F22" i="7"/>
  <c r="G22" i="7"/>
  <c r="H22" i="7"/>
  <c r="I22" i="7"/>
  <c r="J22" i="7"/>
  <c r="K22" i="7"/>
  <c r="L22" i="7"/>
  <c r="M22" i="7"/>
  <c r="N22" i="7"/>
  <c r="O22" i="7"/>
  <c r="P22" i="7"/>
  <c r="Q22" i="7"/>
  <c r="R22" i="7"/>
  <c r="S22" i="7"/>
  <c r="T22" i="7"/>
  <c r="U22" i="7"/>
  <c r="V22" i="7"/>
  <c r="C26" i="9"/>
  <c r="F26" i="9"/>
  <c r="I26" i="9"/>
  <c r="L26" i="9"/>
  <c r="O26" i="9"/>
  <c r="R26" i="9"/>
  <c r="U26" i="9"/>
  <c r="C13" i="7"/>
  <c r="D13" i="7"/>
  <c r="E13" i="7"/>
  <c r="G13" i="7"/>
  <c r="H13" i="7"/>
  <c r="I13" i="7"/>
  <c r="L13" i="7"/>
  <c r="O13" i="7"/>
  <c r="P13" i="7"/>
  <c r="Q13" i="7"/>
  <c r="S13" i="7"/>
  <c r="T13" i="7"/>
  <c r="E25" i="9"/>
  <c r="Q25" i="9"/>
  <c r="E26" i="9"/>
  <c r="C24" i="5"/>
  <c r="J24" i="5" s="1"/>
  <c r="U9" i="7" s="1"/>
  <c r="B16" i="7"/>
  <c r="N16" i="7"/>
  <c r="S16" i="7"/>
  <c r="G25" i="5"/>
  <c r="B17" i="7"/>
  <c r="C17" i="7"/>
  <c r="G17" i="7"/>
  <c r="K17" i="7"/>
  <c r="L17" i="7"/>
  <c r="N17" i="7"/>
  <c r="O17" i="7"/>
  <c r="S17" i="7"/>
  <c r="T17" i="7"/>
  <c r="U17" i="7"/>
  <c r="G25" i="9"/>
  <c r="P25" i="9"/>
  <c r="B18" i="7"/>
  <c r="C18" i="7"/>
  <c r="D18" i="7"/>
  <c r="E18" i="7"/>
  <c r="F18" i="7"/>
  <c r="G18" i="7"/>
  <c r="H18" i="7"/>
  <c r="I18" i="7"/>
  <c r="J18" i="7"/>
  <c r="K18" i="7"/>
  <c r="L18" i="7"/>
  <c r="M18" i="7"/>
  <c r="N18" i="7"/>
  <c r="O18" i="7"/>
  <c r="P18" i="7"/>
  <c r="Q18" i="7"/>
  <c r="R18" i="7"/>
  <c r="S18" i="7"/>
  <c r="T18" i="7"/>
  <c r="U18" i="7"/>
  <c r="V18" i="7"/>
  <c r="D26" i="9"/>
  <c r="D29" i="9" s="1"/>
  <c r="G26" i="9"/>
  <c r="J26" i="9"/>
  <c r="M26" i="9"/>
  <c r="P26" i="9"/>
  <c r="S26" i="9"/>
  <c r="S29" i="9" s="1"/>
  <c r="V26" i="9"/>
  <c r="B42" i="1"/>
  <c r="B43" i="1" s="1"/>
  <c r="B44" i="1" s="1"/>
  <c r="T24" i="7"/>
  <c r="V24" i="7"/>
  <c r="U24" i="7"/>
  <c r="D24" i="5"/>
  <c r="K24" i="5" s="1"/>
  <c r="U10" i="7" s="1"/>
  <c r="B22" i="5"/>
  <c r="I22" i="5" s="1"/>
  <c r="C23" i="5"/>
  <c r="J23" i="5" s="1"/>
  <c r="T9" i="7" s="1"/>
  <c r="O5" i="7"/>
  <c r="O9" i="9" s="1"/>
  <c r="O10" i="9" s="1"/>
  <c r="B18" i="5"/>
  <c r="I18" i="5" s="1"/>
  <c r="C22" i="5"/>
  <c r="J22" i="5" s="1"/>
  <c r="S9" i="7" s="1"/>
  <c r="C6" i="5"/>
  <c r="J6" i="5" s="1"/>
  <c r="C9" i="7" s="1"/>
  <c r="N5" i="4"/>
  <c r="W4" i="7"/>
  <c r="P5" i="7"/>
  <c r="P9" i="9" s="1"/>
  <c r="P10" i="9" s="1"/>
  <c r="P14" i="4"/>
  <c r="J14" i="4"/>
  <c r="C18" i="5"/>
  <c r="J18" i="5" s="1"/>
  <c r="O9" i="7" s="1"/>
  <c r="O5" i="4"/>
  <c r="P13" i="4"/>
  <c r="H5" i="7"/>
  <c r="H9" i="9" s="1"/>
  <c r="H10" i="9" s="1"/>
  <c r="L5" i="7"/>
  <c r="L9" i="9" s="1"/>
  <c r="L10" i="9" s="1"/>
  <c r="N15" i="4"/>
  <c r="L26" i="5"/>
  <c r="C15" i="5"/>
  <c r="J15" i="5" s="1"/>
  <c r="L9" i="7" s="1"/>
  <c r="M26" i="5"/>
  <c r="G22" i="5"/>
  <c r="D15" i="5"/>
  <c r="K15" i="5" s="1"/>
  <c r="L10" i="7" s="1"/>
  <c r="N26" i="5"/>
  <c r="F24" i="5"/>
  <c r="S24" i="7"/>
  <c r="D23" i="5"/>
  <c r="K23" i="5" s="1"/>
  <c r="T10" i="7" s="1"/>
  <c r="E23" i="5"/>
  <c r="G23" i="5"/>
  <c r="G24" i="5"/>
  <c r="D21" i="5"/>
  <c r="K21" i="5" s="1"/>
  <c r="R10" i="7" s="1"/>
  <c r="B17" i="5"/>
  <c r="I17" i="5" s="1"/>
  <c r="E22" i="5"/>
  <c r="E25" i="5"/>
  <c r="F6" i="5"/>
  <c r="F22" i="5"/>
  <c r="B23" i="5"/>
  <c r="F25" i="5"/>
  <c r="F23" i="5"/>
  <c r="E24" i="5"/>
  <c r="D22" i="5"/>
  <c r="D25" i="5"/>
  <c r="G5" i="5"/>
  <c r="J4" i="4"/>
  <c r="F20" i="5"/>
  <c r="D18" i="5"/>
  <c r="K18" i="5" s="1"/>
  <c r="O10" i="7" s="1"/>
  <c r="O13" i="4"/>
  <c r="K14" i="4"/>
  <c r="L15" i="4"/>
  <c r="I15" i="3" s="1"/>
  <c r="N16" i="4"/>
  <c r="J17" i="4"/>
  <c r="E18" i="5"/>
  <c r="E9" i="5"/>
  <c r="G20" i="5"/>
  <c r="L14" i="4"/>
  <c r="I14" i="3" s="1"/>
  <c r="O16" i="4"/>
  <c r="K17" i="4"/>
  <c r="F17" i="5"/>
  <c r="F21" i="5"/>
  <c r="L29" i="7"/>
  <c r="L37" i="9" s="1"/>
  <c r="P16" i="4"/>
  <c r="L17" i="4"/>
  <c r="I17" i="3" s="1"/>
  <c r="G17" i="5"/>
  <c r="P5" i="4"/>
  <c r="P12" i="4"/>
  <c r="J16" i="4"/>
  <c r="P10" i="4"/>
  <c r="N17" i="4"/>
  <c r="E20" i="5"/>
  <c r="N13" i="4"/>
  <c r="O17" i="4"/>
  <c r="G8" i="5"/>
  <c r="B15" i="5"/>
  <c r="I15" i="5" s="1"/>
  <c r="P17" i="4"/>
  <c r="N4" i="4"/>
  <c r="O4" i="4"/>
  <c r="K5" i="4"/>
  <c r="J5" i="4"/>
  <c r="P4" i="4"/>
  <c r="P22" i="4"/>
  <c r="V28" i="7" s="1"/>
  <c r="L5" i="4"/>
  <c r="I5" i="3" s="1"/>
  <c r="J20" i="4"/>
  <c r="B20" i="5"/>
  <c r="I20" i="5" s="1"/>
  <c r="J6" i="4"/>
  <c r="J8" i="4"/>
  <c r="K13" i="4"/>
  <c r="G5" i="7"/>
  <c r="G9" i="9" s="1"/>
  <c r="G10" i="9" s="1"/>
  <c r="Q5" i="7"/>
  <c r="Q9" i="9" s="1"/>
  <c r="Q10" i="9" s="1"/>
  <c r="B5" i="7"/>
  <c r="B9" i="9" s="1"/>
  <c r="J5" i="7"/>
  <c r="J9" i="9" s="1"/>
  <c r="J10" i="9" s="1"/>
  <c r="K5" i="7"/>
  <c r="K9" i="9" s="1"/>
  <c r="K10" i="9" s="1"/>
  <c r="E5" i="7"/>
  <c r="E9" i="9" s="1"/>
  <c r="E10" i="9" s="1"/>
  <c r="N5" i="7"/>
  <c r="N9" i="9" s="1"/>
  <c r="N10" i="9" s="1"/>
  <c r="N24" i="7"/>
  <c r="B24" i="7"/>
  <c r="B7" i="9" s="1"/>
  <c r="B8" i="9" s="1"/>
  <c r="M24" i="7"/>
  <c r="L24" i="7"/>
  <c r="K24" i="7"/>
  <c r="J24" i="7"/>
  <c r="I24" i="7"/>
  <c r="H24" i="7"/>
  <c r="G24" i="7"/>
  <c r="R24" i="7"/>
  <c r="F24" i="7"/>
  <c r="Q24" i="7"/>
  <c r="E24" i="7"/>
  <c r="P24" i="7"/>
  <c r="D24" i="7"/>
  <c r="O24" i="7"/>
  <c r="C24" i="7"/>
  <c r="P9" i="4"/>
  <c r="K9" i="4"/>
  <c r="O9" i="4"/>
  <c r="N9" i="4"/>
  <c r="L9" i="4"/>
  <c r="I9" i="3" s="1"/>
  <c r="J9" i="4"/>
  <c r="P21" i="4"/>
  <c r="K21" i="4"/>
  <c r="O21" i="4"/>
  <c r="N21" i="4"/>
  <c r="L21" i="4"/>
  <c r="I21" i="3" s="1"/>
  <c r="J21" i="4"/>
  <c r="C9" i="5"/>
  <c r="J9" i="5" s="1"/>
  <c r="F9" i="7" s="1"/>
  <c r="F19" i="5"/>
  <c r="L23" i="3"/>
  <c r="I5" i="7"/>
  <c r="I9" i="9" s="1"/>
  <c r="I10" i="9" s="1"/>
  <c r="J7" i="4"/>
  <c r="P7" i="4"/>
  <c r="O7" i="4"/>
  <c r="K7" i="4"/>
  <c r="N7" i="4"/>
  <c r="L7" i="4"/>
  <c r="I7" i="3" s="1"/>
  <c r="P19" i="4"/>
  <c r="O19" i="4"/>
  <c r="K19" i="4"/>
  <c r="J19" i="4"/>
  <c r="N19" i="4"/>
  <c r="L19" i="4"/>
  <c r="I19" i="3" s="1"/>
  <c r="D20" i="5"/>
  <c r="K20" i="5" s="1"/>
  <c r="Q10" i="7" s="1"/>
  <c r="H23" i="4"/>
  <c r="P11" i="4"/>
  <c r="O11" i="4"/>
  <c r="K11" i="4"/>
  <c r="J11" i="4"/>
  <c r="N11" i="4"/>
  <c r="L11" i="4"/>
  <c r="I11" i="3" s="1"/>
  <c r="I23" i="4"/>
  <c r="F15" i="5"/>
  <c r="G15" i="5"/>
  <c r="E15" i="5"/>
  <c r="L13" i="4"/>
  <c r="I13" i="3" s="1"/>
  <c r="E8" i="5"/>
  <c r="R5" i="7"/>
  <c r="R9" i="9" s="1"/>
  <c r="R10" i="9" s="1"/>
  <c r="L6" i="4"/>
  <c r="I6" i="3" s="1"/>
  <c r="P6" i="4"/>
  <c r="K6" i="4"/>
  <c r="L18" i="4"/>
  <c r="I18" i="3" s="1"/>
  <c r="P18" i="4"/>
  <c r="K18" i="4"/>
  <c r="F12" i="5"/>
  <c r="G12" i="5"/>
  <c r="D12" i="5"/>
  <c r="K12" i="5" s="1"/>
  <c r="I10" i="7" s="1"/>
  <c r="C12" i="5"/>
  <c r="J12" i="5" s="1"/>
  <c r="I9" i="7" s="1"/>
  <c r="E12" i="5"/>
  <c r="B12" i="5"/>
  <c r="D14" i="5"/>
  <c r="K14" i="5" s="1"/>
  <c r="K10" i="7" s="1"/>
  <c r="C14" i="5"/>
  <c r="J14" i="5" s="1"/>
  <c r="K9" i="7" s="1"/>
  <c r="G14" i="5"/>
  <c r="F14" i="5"/>
  <c r="D5" i="7"/>
  <c r="D9" i="9" s="1"/>
  <c r="D10" i="9" s="1"/>
  <c r="J18" i="4"/>
  <c r="E19" i="5"/>
  <c r="O8" i="4"/>
  <c r="P8" i="4"/>
  <c r="N8" i="4"/>
  <c r="C21" i="5"/>
  <c r="J21" i="5" s="1"/>
  <c r="R9" i="7" s="1"/>
  <c r="O20" i="4"/>
  <c r="P20" i="4"/>
  <c r="N20" i="4"/>
  <c r="F7" i="5"/>
  <c r="L12" i="4"/>
  <c r="I12" i="3" s="1"/>
  <c r="K12" i="4"/>
  <c r="O12" i="4"/>
  <c r="N12" i="4"/>
  <c r="J12" i="4"/>
  <c r="D23" i="4"/>
  <c r="B13" i="5"/>
  <c r="G13" i="5"/>
  <c r="D13" i="5"/>
  <c r="K13" i="5" s="1"/>
  <c r="J10" i="7" s="1"/>
  <c r="C13" i="5"/>
  <c r="J13" i="5" s="1"/>
  <c r="J9" i="7" s="1"/>
  <c r="F13" i="5"/>
  <c r="E13" i="5"/>
  <c r="G16" i="5"/>
  <c r="D16" i="5"/>
  <c r="K16" i="5" s="1"/>
  <c r="M10" i="7" s="1"/>
  <c r="C16" i="5"/>
  <c r="J16" i="5" s="1"/>
  <c r="M9" i="7" s="1"/>
  <c r="B16" i="5"/>
  <c r="G23" i="4"/>
  <c r="D11" i="5"/>
  <c r="K11" i="5" s="1"/>
  <c r="H10" i="7" s="1"/>
  <c r="C11" i="5"/>
  <c r="J11" i="5" s="1"/>
  <c r="H9" i="7" s="1"/>
  <c r="E11" i="5"/>
  <c r="B11" i="5"/>
  <c r="G11" i="5"/>
  <c r="F11" i="5"/>
  <c r="B14" i="5"/>
  <c r="D23" i="3"/>
  <c r="E5" i="3"/>
  <c r="C5" i="7" s="1"/>
  <c r="C9" i="9" s="1"/>
  <c r="C10" i="9" s="1"/>
  <c r="M5" i="7"/>
  <c r="M9" i="9" s="1"/>
  <c r="M10" i="9" s="1"/>
  <c r="E6" i="5"/>
  <c r="E14" i="5"/>
  <c r="E17" i="5"/>
  <c r="N10" i="4"/>
  <c r="O10" i="4"/>
  <c r="L10" i="4"/>
  <c r="I10" i="3" s="1"/>
  <c r="K10" i="4"/>
  <c r="J10" i="4"/>
  <c r="O22" i="4"/>
  <c r="N22" i="4"/>
  <c r="L22" i="4"/>
  <c r="I22" i="3" s="1"/>
  <c r="K22" i="4"/>
  <c r="J22" i="4"/>
  <c r="B21" i="5"/>
  <c r="E16" i="5"/>
  <c r="E21" i="5"/>
  <c r="G10" i="5"/>
  <c r="D10" i="5"/>
  <c r="K10" i="5" s="1"/>
  <c r="G10" i="7" s="1"/>
  <c r="C10" i="5"/>
  <c r="J10" i="5" s="1"/>
  <c r="G9" i="7" s="1"/>
  <c r="B10" i="5"/>
  <c r="E23" i="4"/>
  <c r="P15" i="4"/>
  <c r="O15" i="4"/>
  <c r="K15" i="4"/>
  <c r="J15" i="4"/>
  <c r="D5" i="5"/>
  <c r="C5" i="5"/>
  <c r="G7" i="5"/>
  <c r="D7" i="5"/>
  <c r="K7" i="5" s="1"/>
  <c r="D10" i="7" s="1"/>
  <c r="C7" i="5"/>
  <c r="J7" i="5" s="1"/>
  <c r="D9" i="7" s="1"/>
  <c r="F23" i="4"/>
  <c r="B5" i="5"/>
  <c r="B6" i="5"/>
  <c r="B8" i="5"/>
  <c r="B9" i="5"/>
  <c r="E10" i="5"/>
  <c r="G19" i="5"/>
  <c r="D19" i="5"/>
  <c r="K19" i="5" s="1"/>
  <c r="P10" i="7" s="1"/>
  <c r="C19" i="5"/>
  <c r="J19" i="5" s="1"/>
  <c r="P9" i="7" s="1"/>
  <c r="B19" i="5"/>
  <c r="J13" i="4"/>
  <c r="E5" i="5"/>
  <c r="B7" i="5"/>
  <c r="F10" i="5"/>
  <c r="F18" i="5"/>
  <c r="G18" i="5"/>
  <c r="L4" i="4"/>
  <c r="K4" i="4"/>
  <c r="N14" i="4"/>
  <c r="O14" i="4"/>
  <c r="L16" i="4"/>
  <c r="I16" i="3" s="1"/>
  <c r="J16" i="3" s="1"/>
  <c r="K16" i="4"/>
  <c r="F9" i="5"/>
  <c r="G9" i="5"/>
  <c r="G21" i="5"/>
  <c r="G6" i="5"/>
  <c r="D8" i="5"/>
  <c r="K8" i="5" s="1"/>
  <c r="E10" i="7" s="1"/>
  <c r="C8" i="5"/>
  <c r="J8" i="5" s="1"/>
  <c r="E9" i="7" s="1"/>
  <c r="O6" i="4"/>
  <c r="N6" i="4"/>
  <c r="L8" i="4"/>
  <c r="I8" i="3" s="1"/>
  <c r="K8" i="4"/>
  <c r="O18" i="4"/>
  <c r="N18" i="4"/>
  <c r="L20" i="4"/>
  <c r="I20" i="3" s="1"/>
  <c r="K20" i="4"/>
  <c r="F5" i="5"/>
  <c r="D6" i="5"/>
  <c r="K6" i="5" s="1"/>
  <c r="C10" i="7" s="1"/>
  <c r="E7" i="5"/>
  <c r="F8" i="5"/>
  <c r="D9" i="5"/>
  <c r="K9" i="5" s="1"/>
  <c r="F10" i="7" s="1"/>
  <c r="D17" i="5"/>
  <c r="K17" i="5" s="1"/>
  <c r="N10" i="7" s="1"/>
  <c r="C17" i="5"/>
  <c r="J17" i="5" s="1"/>
  <c r="N9" i="7" s="1"/>
  <c r="C20" i="5"/>
  <c r="J20" i="5" s="1"/>
  <c r="Q9" i="7" s="1"/>
  <c r="N29" i="9" l="1"/>
  <c r="M29" i="9"/>
  <c r="K29" i="9"/>
  <c r="T29" i="9"/>
  <c r="W31" i="7"/>
  <c r="Q29" i="9"/>
  <c r="H29" i="9"/>
  <c r="W19" i="7"/>
  <c r="J29" i="9"/>
  <c r="B29" i="9"/>
  <c r="W23" i="7"/>
  <c r="L29" i="9"/>
  <c r="I29" i="9"/>
  <c r="W13" i="7"/>
  <c r="W26" i="9"/>
  <c r="V29" i="9"/>
  <c r="W17" i="7"/>
  <c r="W18" i="7"/>
  <c r="W21" i="7"/>
  <c r="F29" i="9"/>
  <c r="C29" i="9"/>
  <c r="W22" i="7"/>
  <c r="W33" i="9"/>
  <c r="B12" i="8" s="1"/>
  <c r="E29" i="9"/>
  <c r="N8" i="7"/>
  <c r="N7" i="7"/>
  <c r="N5" i="9" s="1"/>
  <c r="N6" i="9" s="1"/>
  <c r="G29" i="9"/>
  <c r="U7" i="7"/>
  <c r="U5" i="9" s="1"/>
  <c r="U6" i="9" s="1"/>
  <c r="U8" i="7"/>
  <c r="O7" i="7"/>
  <c r="O5" i="9" s="1"/>
  <c r="O6" i="9" s="1"/>
  <c r="O8" i="7"/>
  <c r="W10" i="9"/>
  <c r="P29" i="9"/>
  <c r="U29" i="9"/>
  <c r="Q8" i="7"/>
  <c r="Q7" i="7"/>
  <c r="Q5" i="9" s="1"/>
  <c r="Q6" i="9" s="1"/>
  <c r="W9" i="9"/>
  <c r="L7" i="7"/>
  <c r="L5" i="9" s="1"/>
  <c r="L6" i="9" s="1"/>
  <c r="L8" i="7"/>
  <c r="S8" i="7"/>
  <c r="R29" i="9"/>
  <c r="W25" i="9"/>
  <c r="B11" i="8" s="1"/>
  <c r="O29" i="9"/>
  <c r="K25" i="7"/>
  <c r="K27" i="7" s="1"/>
  <c r="K7" i="9"/>
  <c r="K8" i="9" s="1"/>
  <c r="S25" i="7"/>
  <c r="S27" i="7" s="1"/>
  <c r="S7" i="9"/>
  <c r="S8" i="9" s="1"/>
  <c r="N25" i="7"/>
  <c r="N27" i="7" s="1"/>
  <c r="N7" i="9"/>
  <c r="N8" i="9" s="1"/>
  <c r="T25" i="7"/>
  <c r="T27" i="7" s="1"/>
  <c r="T7" i="9"/>
  <c r="T8" i="9" s="1"/>
  <c r="R25" i="7"/>
  <c r="R27" i="7" s="1"/>
  <c r="R7" i="9"/>
  <c r="R8" i="9" s="1"/>
  <c r="I25" i="7"/>
  <c r="I27" i="7" s="1"/>
  <c r="I7" i="9"/>
  <c r="I8" i="9" s="1"/>
  <c r="C25" i="7"/>
  <c r="C27" i="7" s="1"/>
  <c r="C7" i="9"/>
  <c r="C8" i="9" s="1"/>
  <c r="L25" i="7"/>
  <c r="L27" i="7" s="1"/>
  <c r="L7" i="9"/>
  <c r="L8" i="9" s="1"/>
  <c r="M25" i="7"/>
  <c r="M27" i="7" s="1"/>
  <c r="M7" i="9"/>
  <c r="M8" i="9" s="1"/>
  <c r="P25" i="7"/>
  <c r="P27" i="7" s="1"/>
  <c r="P7" i="9"/>
  <c r="P8" i="9" s="1"/>
  <c r="E25" i="7"/>
  <c r="E27" i="7" s="1"/>
  <c r="E7" i="9"/>
  <c r="E8" i="9" s="1"/>
  <c r="Q25" i="7"/>
  <c r="Q27" i="7" s="1"/>
  <c r="Q7" i="9"/>
  <c r="Q8" i="9" s="1"/>
  <c r="F25" i="7"/>
  <c r="F27" i="7" s="1"/>
  <c r="F7" i="9"/>
  <c r="F8" i="9" s="1"/>
  <c r="G25" i="7"/>
  <c r="G27" i="7" s="1"/>
  <c r="G7" i="9"/>
  <c r="G8" i="9" s="1"/>
  <c r="J25" i="7"/>
  <c r="J27" i="7" s="1"/>
  <c r="J7" i="9"/>
  <c r="J8" i="9" s="1"/>
  <c r="O25" i="7"/>
  <c r="O27" i="7" s="1"/>
  <c r="O7" i="9"/>
  <c r="O8" i="9" s="1"/>
  <c r="D25" i="7"/>
  <c r="D27" i="7" s="1"/>
  <c r="D7" i="9"/>
  <c r="U25" i="7"/>
  <c r="U27" i="7" s="1"/>
  <c r="U7" i="9"/>
  <c r="U8" i="9" s="1"/>
  <c r="V25" i="7"/>
  <c r="V27" i="7" s="1"/>
  <c r="V7" i="9"/>
  <c r="V8" i="9" s="1"/>
  <c r="V36" i="9"/>
  <c r="H25" i="7"/>
  <c r="H27" i="7" s="1"/>
  <c r="H7" i="9"/>
  <c r="H8" i="9" s="1"/>
  <c r="U28" i="7"/>
  <c r="T28" i="7"/>
  <c r="K28" i="7"/>
  <c r="K36" i="9" s="1"/>
  <c r="J28" i="7"/>
  <c r="J36" i="9" s="1"/>
  <c r="S28" i="7"/>
  <c r="H24" i="5"/>
  <c r="U6" i="7" s="1"/>
  <c r="L28" i="7"/>
  <c r="M28" i="7"/>
  <c r="M36" i="9" s="1"/>
  <c r="W24" i="7"/>
  <c r="W5" i="7"/>
  <c r="B17" i="8" s="1"/>
  <c r="C26" i="5"/>
  <c r="D26" i="5"/>
  <c r="H22" i="5"/>
  <c r="S6" i="7" s="1"/>
  <c r="K22" i="5"/>
  <c r="S10" i="7" s="1"/>
  <c r="B26" i="5"/>
  <c r="F26" i="5"/>
  <c r="K25" i="5"/>
  <c r="H25" i="5"/>
  <c r="E26" i="5"/>
  <c r="O23" i="5"/>
  <c r="I23" i="5"/>
  <c r="H23" i="5"/>
  <c r="T6" i="7" s="1"/>
  <c r="O25" i="5"/>
  <c r="O24" i="5"/>
  <c r="G26" i="5"/>
  <c r="O18" i="5"/>
  <c r="O22" i="5"/>
  <c r="O15" i="5"/>
  <c r="H15" i="5"/>
  <c r="L6" i="7" s="1"/>
  <c r="H18" i="5"/>
  <c r="J5" i="3"/>
  <c r="C28" i="7"/>
  <c r="C36" i="9" s="1"/>
  <c r="N28" i="7"/>
  <c r="N36" i="9" s="1"/>
  <c r="E23" i="3"/>
  <c r="B28" i="7"/>
  <c r="B36" i="9" s="1"/>
  <c r="O28" i="7"/>
  <c r="O36" i="9" s="1"/>
  <c r="H28" i="7"/>
  <c r="H36" i="9" s="1"/>
  <c r="E28" i="7"/>
  <c r="E36" i="9" s="1"/>
  <c r="I28" i="7"/>
  <c r="I36" i="9" s="1"/>
  <c r="G28" i="7"/>
  <c r="G36" i="9" s="1"/>
  <c r="J23" i="4"/>
  <c r="P23" i="4"/>
  <c r="O23" i="4"/>
  <c r="K16" i="3"/>
  <c r="M16" i="3"/>
  <c r="O5" i="5"/>
  <c r="I5" i="5"/>
  <c r="H5" i="5"/>
  <c r="P29" i="7"/>
  <c r="P37" i="9" s="1"/>
  <c r="J20" i="3"/>
  <c r="O10" i="5"/>
  <c r="H10" i="5"/>
  <c r="G6" i="7" s="1"/>
  <c r="I10" i="5"/>
  <c r="B29" i="7"/>
  <c r="B37" i="9" s="1"/>
  <c r="J6" i="3"/>
  <c r="R28" i="7"/>
  <c r="R36" i="9" s="1"/>
  <c r="H29" i="7"/>
  <c r="H37" i="9" s="1"/>
  <c r="J12" i="3"/>
  <c r="N29" i="7"/>
  <c r="N37" i="9" s="1"/>
  <c r="J18" i="3"/>
  <c r="D28" i="7"/>
  <c r="D36" i="9" s="1"/>
  <c r="D29" i="7"/>
  <c r="D37" i="9" s="1"/>
  <c r="J8" i="3"/>
  <c r="B25" i="7"/>
  <c r="B27" i="7" s="1"/>
  <c r="H13" i="5"/>
  <c r="O13" i="5"/>
  <c r="I13" i="5"/>
  <c r="H12" i="5"/>
  <c r="I6" i="7" s="1"/>
  <c r="I12" i="5"/>
  <c r="O12" i="5"/>
  <c r="M29" i="7"/>
  <c r="M37" i="9" s="1"/>
  <c r="J17" i="3"/>
  <c r="R29" i="7"/>
  <c r="R37" i="9" s="1"/>
  <c r="J22" i="3"/>
  <c r="H16" i="5"/>
  <c r="M6" i="7" s="1"/>
  <c r="O16" i="5"/>
  <c r="I16" i="5"/>
  <c r="O7" i="5"/>
  <c r="H7" i="5"/>
  <c r="D6" i="7" s="1"/>
  <c r="I7" i="5"/>
  <c r="E29" i="7"/>
  <c r="E37" i="9" s="1"/>
  <c r="J9" i="3"/>
  <c r="Q29" i="7"/>
  <c r="Q37" i="9" s="1"/>
  <c r="J21" i="3"/>
  <c r="K5" i="5"/>
  <c r="B10" i="7" s="1"/>
  <c r="K23" i="4"/>
  <c r="O29" i="7"/>
  <c r="O37" i="9" s="1"/>
  <c r="J19" i="3"/>
  <c r="F29" i="7"/>
  <c r="F37" i="9" s="1"/>
  <c r="J10" i="3"/>
  <c r="L23" i="4"/>
  <c r="I4" i="3"/>
  <c r="F28" i="7"/>
  <c r="F36" i="9" s="1"/>
  <c r="H23" i="3"/>
  <c r="H9" i="5"/>
  <c r="F6" i="7" s="1"/>
  <c r="O9" i="5"/>
  <c r="I9" i="5"/>
  <c r="O8" i="5"/>
  <c r="I8" i="5"/>
  <c r="H8" i="5"/>
  <c r="O21" i="5"/>
  <c r="H21" i="5"/>
  <c r="R6" i="7" s="1"/>
  <c r="I21" i="5"/>
  <c r="C29" i="7"/>
  <c r="C37" i="9" s="1"/>
  <c r="J7" i="3"/>
  <c r="O11" i="5"/>
  <c r="H11" i="5"/>
  <c r="H6" i="7" s="1"/>
  <c r="I11" i="5"/>
  <c r="H20" i="5"/>
  <c r="Q6" i="7" s="1"/>
  <c r="O17" i="5"/>
  <c r="G29" i="7"/>
  <c r="G37" i="9" s="1"/>
  <c r="J11" i="3"/>
  <c r="H19" i="5"/>
  <c r="P6" i="7" s="1"/>
  <c r="O19" i="5"/>
  <c r="I19" i="5"/>
  <c r="J5" i="5"/>
  <c r="O14" i="5"/>
  <c r="H14" i="5"/>
  <c r="I14" i="5"/>
  <c r="Q28" i="7"/>
  <c r="Q36" i="9" s="1"/>
  <c r="H17" i="5"/>
  <c r="N6" i="7" s="1"/>
  <c r="N23" i="4"/>
  <c r="O20" i="5"/>
  <c r="K29" i="7"/>
  <c r="K37" i="9" s="1"/>
  <c r="J15" i="3"/>
  <c r="H6" i="5"/>
  <c r="C6" i="7" s="1"/>
  <c r="O6" i="5"/>
  <c r="I6" i="5"/>
  <c r="P28" i="7"/>
  <c r="P36" i="9" s="1"/>
  <c r="I29" i="7"/>
  <c r="I37" i="9" s="1"/>
  <c r="J13" i="3"/>
  <c r="J29" i="7"/>
  <c r="J37" i="9" s="1"/>
  <c r="J14" i="3"/>
  <c r="W27" i="7" l="1"/>
  <c r="O11" i="9"/>
  <c r="O31" i="9" s="1"/>
  <c r="T17" i="4" s="1"/>
  <c r="K5" i="3"/>
  <c r="L11" i="9"/>
  <c r="L31" i="9" s="1"/>
  <c r="V12" i="4" s="1"/>
  <c r="Q11" i="9"/>
  <c r="Q31" i="9" s="1"/>
  <c r="O6" i="7"/>
  <c r="V6" i="7"/>
  <c r="J6" i="7"/>
  <c r="K6" i="7"/>
  <c r="E6" i="7"/>
  <c r="N11" i="9"/>
  <c r="N31" i="9" s="1"/>
  <c r="W29" i="9"/>
  <c r="E8" i="7"/>
  <c r="E7" i="7"/>
  <c r="E5" i="9" s="1"/>
  <c r="E6" i="9" s="1"/>
  <c r="E11" i="9" s="1"/>
  <c r="H8" i="7"/>
  <c r="H7" i="7"/>
  <c r="H5" i="9" s="1"/>
  <c r="H6" i="9" s="1"/>
  <c r="H11" i="9" s="1"/>
  <c r="I7" i="7"/>
  <c r="I5" i="9" s="1"/>
  <c r="I6" i="9" s="1"/>
  <c r="I11" i="9" s="1"/>
  <c r="I8" i="7"/>
  <c r="C7" i="7"/>
  <c r="C5" i="9" s="1"/>
  <c r="C6" i="9" s="1"/>
  <c r="C11" i="9" s="1"/>
  <c r="C8" i="7"/>
  <c r="F7" i="7"/>
  <c r="F5" i="9" s="1"/>
  <c r="F6" i="9" s="1"/>
  <c r="F11" i="9" s="1"/>
  <c r="F8" i="7"/>
  <c r="K8" i="7"/>
  <c r="K7" i="7"/>
  <c r="K5" i="9" s="1"/>
  <c r="K6" i="9" s="1"/>
  <c r="K11" i="9" s="1"/>
  <c r="B8" i="7"/>
  <c r="B7" i="7"/>
  <c r="J26" i="5"/>
  <c r="B9" i="7"/>
  <c r="W9" i="7" s="1"/>
  <c r="D8" i="7"/>
  <c r="D7" i="7"/>
  <c r="D5" i="9" s="1"/>
  <c r="D6" i="9" s="1"/>
  <c r="R7" i="7"/>
  <c r="R5" i="9" s="1"/>
  <c r="R6" i="9" s="1"/>
  <c r="R11" i="9" s="1"/>
  <c r="R8" i="7"/>
  <c r="W37" i="9"/>
  <c r="S7" i="7"/>
  <c r="S5" i="9" s="1"/>
  <c r="S6" i="9" s="1"/>
  <c r="S11" i="9" s="1"/>
  <c r="T8" i="7"/>
  <c r="T7" i="7"/>
  <c r="T5" i="9" s="1"/>
  <c r="T6" i="9" s="1"/>
  <c r="T11" i="9" s="1"/>
  <c r="P8" i="7"/>
  <c r="P7" i="7"/>
  <c r="P5" i="9" s="1"/>
  <c r="P6" i="9" s="1"/>
  <c r="P11" i="9" s="1"/>
  <c r="J8" i="7"/>
  <c r="J7" i="7"/>
  <c r="J5" i="9" s="1"/>
  <c r="J6" i="9" s="1"/>
  <c r="J11" i="9" s="1"/>
  <c r="J31" i="9" s="1"/>
  <c r="J32" i="9" s="1"/>
  <c r="J34" i="9" s="1"/>
  <c r="M8" i="7"/>
  <c r="M7" i="7"/>
  <c r="M5" i="9" s="1"/>
  <c r="M6" i="9" s="1"/>
  <c r="M11" i="9" s="1"/>
  <c r="G8" i="7"/>
  <c r="G7" i="7"/>
  <c r="G5" i="9" s="1"/>
  <c r="G6" i="9" s="1"/>
  <c r="G11" i="9" s="1"/>
  <c r="V10" i="7"/>
  <c r="W10" i="7" s="1"/>
  <c r="V7" i="7"/>
  <c r="V5" i="9" s="1"/>
  <c r="V6" i="9" s="1"/>
  <c r="V11" i="9" s="1"/>
  <c r="U11" i="9"/>
  <c r="S36" i="9"/>
  <c r="U36" i="9"/>
  <c r="L36" i="9"/>
  <c r="T36" i="9"/>
  <c r="W7" i="9"/>
  <c r="D8" i="9"/>
  <c r="W25" i="7"/>
  <c r="B4" i="8" s="1"/>
  <c r="W29" i="7"/>
  <c r="B8" i="8" s="1"/>
  <c r="W28" i="7"/>
  <c r="B7" i="8" s="1"/>
  <c r="K26" i="5"/>
  <c r="H26" i="5"/>
  <c r="I26" i="5"/>
  <c r="O26" i="5"/>
  <c r="M5" i="3"/>
  <c r="M13" i="3"/>
  <c r="K13" i="3"/>
  <c r="I23" i="3"/>
  <c r="J4" i="3"/>
  <c r="K12" i="3"/>
  <c r="M12" i="3"/>
  <c r="K20" i="3"/>
  <c r="M20" i="3"/>
  <c r="K10" i="3"/>
  <c r="M10" i="3"/>
  <c r="K21" i="3"/>
  <c r="M21" i="3"/>
  <c r="B3" i="8"/>
  <c r="K17" i="3"/>
  <c r="M17" i="3"/>
  <c r="K6" i="3"/>
  <c r="M6" i="3"/>
  <c r="B6" i="7"/>
  <c r="K19" i="3"/>
  <c r="M19" i="3"/>
  <c r="K9" i="3"/>
  <c r="M9" i="3"/>
  <c r="K8" i="3"/>
  <c r="M8" i="3"/>
  <c r="K11" i="3"/>
  <c r="M11" i="3"/>
  <c r="K22" i="3"/>
  <c r="M22" i="3"/>
  <c r="K15" i="3"/>
  <c r="M15" i="3"/>
  <c r="K14" i="3"/>
  <c r="M14" i="3"/>
  <c r="K7" i="3"/>
  <c r="M7" i="3"/>
  <c r="K18" i="3"/>
  <c r="M18" i="3"/>
  <c r="V15" i="4" l="1"/>
  <c r="N32" i="9"/>
  <c r="N34" i="9" s="1"/>
  <c r="N38" i="9" s="1"/>
  <c r="T16" i="4"/>
  <c r="U15" i="4"/>
  <c r="V14" i="4"/>
  <c r="T12" i="4"/>
  <c r="O32" i="9"/>
  <c r="O34" i="9" s="1"/>
  <c r="O38" i="9" s="1"/>
  <c r="U16" i="4"/>
  <c r="Q32" i="9"/>
  <c r="Q34" i="9" s="1"/>
  <c r="U18" i="4"/>
  <c r="T19" i="4"/>
  <c r="L32" i="9"/>
  <c r="L34" i="9" s="1"/>
  <c r="L30" i="7" s="1"/>
  <c r="L32" i="7" s="1"/>
  <c r="U13" i="4"/>
  <c r="V10" i="4"/>
  <c r="V17" i="4"/>
  <c r="T14" i="4"/>
  <c r="U11" i="4"/>
  <c r="P31" i="9"/>
  <c r="I31" i="9"/>
  <c r="V31" i="9"/>
  <c r="S31" i="9"/>
  <c r="R31" i="9"/>
  <c r="E31" i="9"/>
  <c r="J38" i="9"/>
  <c r="J30" i="7"/>
  <c r="J32" i="7" s="1"/>
  <c r="F31" i="9"/>
  <c r="H31" i="9"/>
  <c r="T31" i="9"/>
  <c r="N30" i="7"/>
  <c r="N32" i="7" s="1"/>
  <c r="K31" i="9"/>
  <c r="U31" i="9"/>
  <c r="G31" i="9"/>
  <c r="W7" i="7"/>
  <c r="B5" i="9"/>
  <c r="W8" i="7"/>
  <c r="C31" i="9"/>
  <c r="M31" i="9"/>
  <c r="W36" i="9"/>
  <c r="W8" i="9"/>
  <c r="D11" i="9"/>
  <c r="D31" i="9" s="1"/>
  <c r="W6" i="7"/>
  <c r="B18" i="8"/>
  <c r="J23" i="3"/>
  <c r="K23" i="3" s="1"/>
  <c r="K4" i="3"/>
  <c r="M4" i="3"/>
  <c r="M23" i="3" s="1"/>
  <c r="L33" i="7" l="1"/>
  <c r="L34" i="7" s="1"/>
  <c r="N33" i="7"/>
  <c r="N34" i="7" s="1"/>
  <c r="J33" i="7"/>
  <c r="J34" i="7" s="1"/>
  <c r="G32" i="9"/>
  <c r="G34" i="9" s="1"/>
  <c r="G38" i="9" s="1"/>
  <c r="T9" i="4"/>
  <c r="V7" i="4"/>
  <c r="U8" i="4"/>
  <c r="Q30" i="7"/>
  <c r="Q32" i="7" s="1"/>
  <c r="Q38" i="9"/>
  <c r="E32" i="9"/>
  <c r="E34" i="9" s="1"/>
  <c r="E38" i="9" s="1"/>
  <c r="T7" i="4"/>
  <c r="V5" i="4"/>
  <c r="U6" i="4"/>
  <c r="U32" i="9"/>
  <c r="U34" i="9" s="1"/>
  <c r="U22" i="4"/>
  <c r="V21" i="4"/>
  <c r="R32" i="9"/>
  <c r="R34" i="9" s="1"/>
  <c r="R38" i="9" s="1"/>
  <c r="T20" i="4"/>
  <c r="V18" i="4"/>
  <c r="U19" i="4"/>
  <c r="D32" i="9"/>
  <c r="D34" i="9" s="1"/>
  <c r="D30" i="7" s="1"/>
  <c r="U5" i="4"/>
  <c r="T6" i="4"/>
  <c r="V4" i="4"/>
  <c r="K32" i="9"/>
  <c r="K34" i="9" s="1"/>
  <c r="K38" i="9" s="1"/>
  <c r="U12" i="4"/>
  <c r="W12" i="4" s="1"/>
  <c r="O12" i="3" s="1"/>
  <c r="P12" i="3" s="1"/>
  <c r="T13" i="4"/>
  <c r="V11" i="4"/>
  <c r="S32" i="9"/>
  <c r="S34" i="9" s="1"/>
  <c r="V19" i="4"/>
  <c r="T21" i="4"/>
  <c r="U20" i="4"/>
  <c r="V32" i="9"/>
  <c r="V34" i="9" s="1"/>
  <c r="V38" i="9" s="1"/>
  <c r="V22" i="4"/>
  <c r="L38" i="9"/>
  <c r="T32" i="9"/>
  <c r="T34" i="9" s="1"/>
  <c r="T38" i="9" s="1"/>
  <c r="V20" i="4"/>
  <c r="T22" i="4"/>
  <c r="U21" i="4"/>
  <c r="I32" i="9"/>
  <c r="I34" i="9" s="1"/>
  <c r="I38" i="9" s="1"/>
  <c r="V9" i="4"/>
  <c r="U10" i="4"/>
  <c r="T11" i="4"/>
  <c r="P32" i="9"/>
  <c r="P34" i="9" s="1"/>
  <c r="P38" i="9" s="1"/>
  <c r="V16" i="4"/>
  <c r="W16" i="4" s="1"/>
  <c r="O16" i="3" s="1"/>
  <c r="P16" i="3" s="1"/>
  <c r="T18" i="4"/>
  <c r="U17" i="4"/>
  <c r="W17" i="4" s="1"/>
  <c r="O17" i="3" s="1"/>
  <c r="P17" i="3" s="1"/>
  <c r="M32" i="9"/>
  <c r="M34" i="9" s="1"/>
  <c r="V13" i="4"/>
  <c r="U14" i="4"/>
  <c r="W14" i="4" s="1"/>
  <c r="O14" i="3" s="1"/>
  <c r="P14" i="3" s="1"/>
  <c r="T15" i="4"/>
  <c r="W15" i="4" s="1"/>
  <c r="O15" i="3" s="1"/>
  <c r="P15" i="3" s="1"/>
  <c r="O30" i="7"/>
  <c r="O32" i="7" s="1"/>
  <c r="H32" i="9"/>
  <c r="H34" i="9" s="1"/>
  <c r="H38" i="9" s="1"/>
  <c r="V8" i="4"/>
  <c r="T10" i="4"/>
  <c r="U9" i="4"/>
  <c r="C32" i="9"/>
  <c r="C34" i="9" s="1"/>
  <c r="C38" i="9" s="1"/>
  <c r="T5" i="4"/>
  <c r="U4" i="4"/>
  <c r="F32" i="9"/>
  <c r="F34" i="9" s="1"/>
  <c r="F38" i="9" s="1"/>
  <c r="V6" i="4"/>
  <c r="T8" i="4"/>
  <c r="U7" i="4"/>
  <c r="B6" i="9"/>
  <c r="W5" i="9"/>
  <c r="G30" i="7" l="1"/>
  <c r="G32" i="7" s="1"/>
  <c r="W19" i="4"/>
  <c r="O19" i="3" s="1"/>
  <c r="P19" i="3" s="1"/>
  <c r="Q19" i="3" s="1"/>
  <c r="Q33" i="7"/>
  <c r="Q34" i="7" s="1"/>
  <c r="G33" i="7"/>
  <c r="G34" i="7" s="1"/>
  <c r="O33" i="7"/>
  <c r="O34" i="7" s="1"/>
  <c r="W10" i="4"/>
  <c r="O10" i="3" s="1"/>
  <c r="P10" i="3" s="1"/>
  <c r="R30" i="7"/>
  <c r="R32" i="7" s="1"/>
  <c r="W7" i="4"/>
  <c r="O7" i="3" s="1"/>
  <c r="P7" i="3" s="1"/>
  <c r="R7" i="3" s="1"/>
  <c r="I30" i="7"/>
  <c r="I32" i="7" s="1"/>
  <c r="H30" i="7"/>
  <c r="H32" i="7" s="1"/>
  <c r="W18" i="4"/>
  <c r="O18" i="3" s="1"/>
  <c r="P18" i="3" s="1"/>
  <c r="Q18" i="3" s="1"/>
  <c r="W11" i="4"/>
  <c r="O11" i="3" s="1"/>
  <c r="P11" i="3" s="1"/>
  <c r="R11" i="3" s="1"/>
  <c r="W21" i="4"/>
  <c r="O21" i="3" s="1"/>
  <c r="P21" i="3" s="1"/>
  <c r="Q21" i="3" s="1"/>
  <c r="Q17" i="3"/>
  <c r="R17" i="3"/>
  <c r="W5" i="4"/>
  <c r="O5" i="3" s="1"/>
  <c r="P5" i="3" s="1"/>
  <c r="Q16" i="3"/>
  <c r="R16" i="3"/>
  <c r="Q10" i="3"/>
  <c r="R10" i="3"/>
  <c r="R14" i="3"/>
  <c r="Q14" i="3"/>
  <c r="Q15" i="3"/>
  <c r="R15" i="3"/>
  <c r="Q12" i="3"/>
  <c r="R12" i="3"/>
  <c r="M38" i="9"/>
  <c r="M30" i="7"/>
  <c r="M32" i="7" s="1"/>
  <c r="P30" i="7"/>
  <c r="P32" i="7" s="1"/>
  <c r="E30" i="7"/>
  <c r="E32" i="7" s="1"/>
  <c r="S30" i="7"/>
  <c r="S32" i="7" s="1"/>
  <c r="S38" i="9"/>
  <c r="W6" i="4"/>
  <c r="O6" i="3" s="1"/>
  <c r="P6" i="3" s="1"/>
  <c r="T30" i="7"/>
  <c r="T32" i="7" s="1"/>
  <c r="C30" i="7"/>
  <c r="C32" i="7" s="1"/>
  <c r="W20" i="4"/>
  <c r="O20" i="3" s="1"/>
  <c r="P20" i="3" s="1"/>
  <c r="K30" i="7"/>
  <c r="K32" i="7" s="1"/>
  <c r="F30" i="7"/>
  <c r="F32" i="7" s="1"/>
  <c r="W8" i="4"/>
  <c r="O8" i="3" s="1"/>
  <c r="P8" i="3" s="1"/>
  <c r="W13" i="4"/>
  <c r="O13" i="3" s="1"/>
  <c r="P13" i="3" s="1"/>
  <c r="W9" i="4"/>
  <c r="O9" i="3" s="1"/>
  <c r="P9" i="3" s="1"/>
  <c r="V30" i="7"/>
  <c r="V32" i="7" s="1"/>
  <c r="W22" i="4"/>
  <c r="O22" i="3" s="1"/>
  <c r="P22" i="3" s="1"/>
  <c r="U30" i="7"/>
  <c r="U32" i="7" s="1"/>
  <c r="U38" i="9"/>
  <c r="W6" i="9"/>
  <c r="B11" i="9"/>
  <c r="D32" i="7"/>
  <c r="D33" i="7" s="1"/>
  <c r="D38" i="9"/>
  <c r="R19" i="3" l="1"/>
  <c r="H33" i="7"/>
  <c r="H34" i="7" s="1"/>
  <c r="U33" i="7"/>
  <c r="U34" i="7" s="1"/>
  <c r="S33" i="7"/>
  <c r="S34" i="7" s="1"/>
  <c r="I33" i="7"/>
  <c r="I34" i="7" s="1"/>
  <c r="V33" i="7"/>
  <c r="V34" i="7" s="1"/>
  <c r="E33" i="7"/>
  <c r="E34" i="7" s="1"/>
  <c r="P33" i="7"/>
  <c r="P34" i="7" s="1"/>
  <c r="R33" i="7"/>
  <c r="R34" i="7" s="1"/>
  <c r="M33" i="7"/>
  <c r="M34" i="7" s="1"/>
  <c r="K33" i="7"/>
  <c r="K34" i="7" s="1"/>
  <c r="C33" i="7"/>
  <c r="C34" i="7" s="1"/>
  <c r="F33" i="7"/>
  <c r="F34" i="7" s="1"/>
  <c r="T33" i="7"/>
  <c r="T34" i="7" s="1"/>
  <c r="Q7" i="3"/>
  <c r="R21" i="3"/>
  <c r="R18" i="3"/>
  <c r="Q11" i="3"/>
  <c r="Q5" i="3"/>
  <c r="R5" i="3"/>
  <c r="Q20" i="3"/>
  <c r="R20" i="3"/>
  <c r="Q6" i="3"/>
  <c r="R6" i="3"/>
  <c r="Q22" i="3"/>
  <c r="R22" i="3"/>
  <c r="Q8" i="3"/>
  <c r="R8" i="3"/>
  <c r="Q9" i="3"/>
  <c r="R9" i="3"/>
  <c r="Q13" i="3"/>
  <c r="R13" i="3"/>
  <c r="B31" i="9"/>
  <c r="T4" i="4" s="1"/>
  <c r="W4" i="4" s="1"/>
  <c r="O4" i="3" s="1"/>
  <c r="W11" i="9"/>
  <c r="B10" i="8" s="1"/>
  <c r="O23" i="3" l="1"/>
  <c r="P4" i="3"/>
  <c r="B32" i="9"/>
  <c r="W31" i="9"/>
  <c r="D34" i="7"/>
  <c r="P23" i="3" l="1"/>
  <c r="Q23" i="3" s="1"/>
  <c r="Q4" i="3"/>
  <c r="R4" i="3"/>
  <c r="R23" i="3" s="1"/>
  <c r="W32" i="9"/>
  <c r="B34" i="9"/>
  <c r="B30" i="7" l="1"/>
  <c r="B38" i="9"/>
  <c r="W38" i="9" s="1"/>
  <c r="W34" i="9"/>
  <c r="B32" i="7" l="1"/>
  <c r="B33" i="7" s="1"/>
  <c r="W30" i="7"/>
  <c r="B9" i="8" s="1"/>
  <c r="W32" i="7" l="1"/>
  <c r="B19" i="8" s="1"/>
  <c r="B20" i="8" s="1"/>
  <c r="B6" i="8" l="1"/>
  <c r="B34" i="7"/>
  <c r="W34" i="7" s="1"/>
  <c r="B14" i="8" s="1"/>
  <c r="B35" i="7"/>
  <c r="W33" i="7"/>
  <c r="B13" i="8" s="1"/>
  <c r="C35" i="7" l="1"/>
  <c r="D35" i="7" s="1"/>
  <c r="E35" i="7" s="1"/>
  <c r="F35" i="7" s="1"/>
  <c r="G35" i="7" s="1"/>
  <c r="H35" i="7" s="1"/>
  <c r="I35" i="7" s="1"/>
  <c r="J35" i="7" s="1"/>
  <c r="K35" i="7" s="1"/>
  <c r="L35" i="7" s="1"/>
  <c r="M35" i="7" s="1"/>
  <c r="N35" i="7" s="1"/>
  <c r="O35" i="7" s="1"/>
  <c r="P35" i="7" s="1"/>
  <c r="Q35" i="7" s="1"/>
  <c r="R35" i="7" s="1"/>
  <c r="S35" i="7" s="1"/>
  <c r="T35" i="7" s="1"/>
  <c r="U35" i="7" s="1"/>
  <c r="V35" i="7" s="1"/>
  <c r="B16" i="8" l="1"/>
  <c r="W35" i="7"/>
  <c r="B1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3" authorId="0" shapeId="0" xr:uid="{2173DDAC-E8AC-FE4B-8518-74D21D316D26}">
      <text>
        <r>
          <rPr>
            <b/>
            <sz val="10"/>
            <color rgb="FF000000"/>
            <rFont val="Tahoma"/>
            <family val="2"/>
          </rPr>
          <t>Microsoft Office User:</t>
        </r>
        <r>
          <rPr>
            <sz val="10"/>
            <color rgb="FF000000"/>
            <rFont val="Tahoma"/>
            <family val="2"/>
          </rPr>
          <t xml:space="preserve">
</t>
        </r>
        <r>
          <rPr>
            <sz val="10"/>
            <color rgb="FF000000"/>
            <rFont val="Tahoma"/>
            <family val="2"/>
          </rPr>
          <t xml:space="preserve">OUI = alevins achetés au fournisseur (coût = nb </t>
        </r>
        <r>
          <rPr>
            <sz val="10"/>
            <color rgb="FF000000"/>
            <rFont val="Tahoma"/>
            <family val="2"/>
          </rPr>
          <t>×</t>
        </r>
        <r>
          <rPr>
            <sz val="10"/>
            <color rgb="FF000000"/>
            <rFont val="Tahoma"/>
            <family val="2"/>
          </rPr>
          <t xml:space="preserve"> prix alevin − remise). NON = alevins issus de la production locale (coût =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1" authorId="0" shapeId="0" xr:uid="{2CB325B9-0C38-3C4B-8C6B-CB036CE7977A}">
      <text>
        <r>
          <rPr>
            <b/>
            <sz val="10"/>
            <color rgb="FF000000"/>
            <rFont val="Tahoma"/>
            <family val="2"/>
          </rPr>
          <t>Microsoft Office User:</t>
        </r>
        <r>
          <rPr>
            <sz val="10"/>
            <color rgb="FF000000"/>
            <rFont val="Tahoma"/>
            <family val="2"/>
          </rPr>
          <t xml:space="preserve">
Répartition indicative : chaque vague consomme une part de ses sacs selon le mois de cycle (clés de la feuille Aliments, colonnes F/G/H). Le total du mois ci-dessus est arrondi au sac supérieur par granulométrie, le détail est arrondi au sac le plus proche — un écart de 1 à 2 sacs entre le détail et le total est donc normal. Si deux vagues sont empoissonnées le même mois, les sacs sont cumulés et seul le nom de la première s'affiche.</t>
        </r>
      </text>
    </comment>
    <comment ref="A26" authorId="0" shapeId="0" xr:uid="{94C7B3D0-FE58-6A40-904F-55F1EEA10D5F}">
      <text>
        <r>
          <rPr>
            <b/>
            <sz val="10"/>
            <color rgb="FF000000"/>
            <rFont val="Tahoma"/>
            <family val="2"/>
          </rPr>
          <t>Microsoft Office User:</t>
        </r>
        <r>
          <rPr>
            <sz val="10"/>
            <color rgb="FF000000"/>
            <rFont val="Tahoma"/>
            <family val="2"/>
          </rPr>
          <t xml:space="preserve">
Saisissez ici les entrées d'argent hors ventes : apport personnel, prêt bancaire, subvention, association. Un montant par mois, dans la colonne du mois concerné. Ces montants alimentent le total des entrées, le résultat du mois et la trésorerie cumulée.</t>
        </r>
      </text>
    </comment>
  </commentList>
</comments>
</file>

<file path=xl/sharedStrings.xml><?xml version="1.0" encoding="utf-8"?>
<sst xmlns="http://schemas.openxmlformats.org/spreadsheetml/2006/main" count="262" uniqueCount="231">
  <si>
    <t>PARAMÈTRES — Prévisions élevage de silure</t>
  </si>
  <si>
    <t>Cellules en bleu sur fond jaune = valeurs à modifier par vous. Le reste se calcule automatiquement.</t>
  </si>
  <si>
    <t>VENTE</t>
  </si>
  <si>
    <t>Prix de vente moyen (FCFA / kg)</t>
  </si>
  <si>
    <t>Poids moyen d'un poisson à la vente (kg)</t>
  </si>
  <si>
    <t>Sortie à 400 g en moyenne (les plus gros jusqu'à 600 g).</t>
  </si>
  <si>
    <t>Part du stock vendue à la fin du 2e mois du cycle</t>
  </si>
  <si>
    <t>Part vendue au cours du 3e mois (jusqu'à sa fin)</t>
  </si>
  <si>
    <t>ALEVINS</t>
  </si>
  <si>
    <t>Marge de sécurité sur les alevins (% ajouté à la commande)</t>
  </si>
  <si>
    <t>On commande 10% d'alevins en plus pour couvrir le taux de perte.</t>
  </si>
  <si>
    <t>Prix d'un alevin (FCFA)</t>
  </si>
  <si>
    <t>Prix D'EXEMPLE — mettez votre prix réel.</t>
  </si>
  <si>
    <t>REMISES FOURNISSEURS (négociées selon la taille des commandes)</t>
  </si>
  <si>
    <t>Remise obtenue sur les aliments et les alevins, selon la taille de la vague :</t>
  </si>
  <si>
    <t>Palier 1 — vague à partir de (t) / remise</t>
  </si>
  <si>
    <t>Remises D'EXEMPLE, à ajuster selon vos négociations réelles. Les seuils doivent rester en ordre croissant.</t>
  </si>
  <si>
    <t>Palier 2 — vague à partir de (t) / remise</t>
  </si>
  <si>
    <t>Palier 3 — vague à partir de (t) / remise</t>
  </si>
  <si>
    <t>Palier 4 — vague à partir de (t) / remise</t>
  </si>
  <si>
    <t>ALIMENTS</t>
  </si>
  <si>
    <t>Kg d'aliment par kg de poisson — info, découle du standard de sacs</t>
  </si>
  <si>
    <t>Le standard de sacs par tonne, les marques, prix et répartition se règlent dans la feuille Aliments.</t>
  </si>
  <si>
    <t>AUTRES DÉPENSES</t>
  </si>
  <si>
    <t>FINANCES</t>
  </si>
  <si>
    <t>Part du résultat mensuel mise en épargne</t>
  </si>
  <si>
    <t>Trésorerie de départ en août 2026 (FCFA)</t>
  </si>
  <si>
    <t>INDICATEURS (calculés automatiquement)</t>
  </si>
  <si>
    <t>Coût aliment par kg de poisson produit (FCFA, sans remise)</t>
  </si>
  <si>
    <t>Coût alevins par kg vendu (FCFA, sans remise)</t>
  </si>
  <si>
    <t>Coût de production hors autres dépenses (FCFA / kg, sans remise)</t>
  </si>
  <si>
    <t>Idem pour une vague de 15 t, remise incluse (FCFA / kg)</t>
  </si>
  <si>
    <t>Marge brute d'une vague de 15 t, remise incluse (FCFA)</t>
  </si>
  <si>
    <t>Hors « autres dépenses », qui sont saisies mois par mois dans les Prévisions.</t>
  </si>
  <si>
    <t>Poissons à vendre dans une vague de 15 tonnes (nb)</t>
  </si>
  <si>
    <t>Alevins à commander pour une vague de 15 tonnes (nb)</t>
  </si>
  <si>
    <t>ALIMENTS — granulométries, marques, prix et répartition sur le cycle</t>
  </si>
  <si>
    <t>Grossissement du 2 mm au 4 mm (sortie à 400 g). Colonne « Sacs par tonne » : votre STANDARD de consommation pour produire 1 tonne de poisson (ex. 8 sacs de 2 mm, 18 de 3 mm, 50 de 4 mm) — c'est lui qui calcule les sacs de chaque vague selon son tonnage. Colonnes F, G, H : répartition de CHAQUE granulé sur les mois du cycle (chaque ligne doit faire 100%). Marques, poids et prix D'EXEMPLE à remplacer par vos valeurs réelles.</t>
  </si>
  <si>
    <t>Granulométrie</t>
  </si>
  <si>
    <t>Marque</t>
  </si>
  <si>
    <t>Poids du sac (kg)</t>
  </si>
  <si>
    <t>Prix du sac (FCFA)</t>
  </si>
  <si>
    <t>Prix au kg (FCFA)</t>
  </si>
  <si>
    <t>% consommé au mois 1 du cycle</t>
  </si>
  <si>
    <t>% consommé au mois 2</t>
  </si>
  <si>
    <t>% consommé au mois 3</t>
  </si>
  <si>
    <t>Total (doit faire 100%)</t>
  </si>
  <si>
    <t>Sacs par tonne de poisson (STANDARD)</t>
  </si>
  <si>
    <t>Contrôle</t>
  </si>
  <si>
    <t>2 mm</t>
  </si>
  <si>
    <t>Marque A</t>
  </si>
  <si>
    <t>3 mm</t>
  </si>
  <si>
    <t>4 mm</t>
  </si>
  <si>
    <t>Marque B</t>
  </si>
  <si>
    <t>Aliment total par tonne de poisson (kg) — info</t>
  </si>
  <si>
    <t>Coût aliment par tonne de poisson (FCFA, prix catalogue)</t>
  </si>
  <si>
    <t>Coût aliment par kg de poisson (FCFA, prix catalogue)</t>
  </si>
  <si>
    <t>À comparer à votre expérience — remplacez marques, poids et prix d'exemple par vos valeurs réelles.</t>
  </si>
  <si>
    <t>PLAN D'EMPOISSONNEMENT — une ligne par vague</t>
  </si>
  <si>
    <t>Vague</t>
  </si>
  <si>
    <t>Mois d'empoissonnement</t>
  </si>
  <si>
    <t>Objectif de vente (t)</t>
  </si>
  <si>
    <t>Poissons à vendre (nb approx.)</t>
  </si>
  <si>
    <t>Alevins à commander (nb, marge de sécurité incluse)</t>
  </si>
  <si>
    <t>Remise fournisseur (%)</t>
  </si>
  <si>
    <t>Coût alevins (FCFA)</t>
  </si>
  <si>
    <t>Coût aliments de la vague (FCFA)</t>
  </si>
  <si>
    <t>Coût total aliments + alevins (FCFA)</t>
  </si>
  <si>
    <t>Chiffre d'affaires attendu (FCFA)</t>
  </si>
  <si>
    <t>Marge brute attendue (FCFA)</t>
  </si>
  <si>
    <t>V1</t>
  </si>
  <si>
    <t>V2</t>
  </si>
  <si>
    <t>V3</t>
  </si>
  <si>
    <t>V4</t>
  </si>
  <si>
    <t>V5</t>
  </si>
  <si>
    <t>V6</t>
  </si>
  <si>
    <t>V7</t>
  </si>
  <si>
    <t>V8</t>
  </si>
  <si>
    <t>V9</t>
  </si>
  <si>
    <t>V10</t>
  </si>
  <si>
    <t>V11</t>
  </si>
  <si>
    <t>V12</t>
  </si>
  <si>
    <t>V13</t>
  </si>
  <si>
    <t>V14</t>
  </si>
  <si>
    <t>V15</t>
  </si>
  <si>
    <t>V16</t>
  </si>
  <si>
    <t>V17</t>
  </si>
  <si>
    <t>V18</t>
  </si>
  <si>
    <t>V19</t>
  </si>
  <si>
    <t>TOTAL</t>
  </si>
  <si>
    <t>ALIMENT PAR VAGUE — saisissez les SACS de chaque vague, par granulométrie</t>
  </si>
  <si>
    <t>Les sacs de chaque vague sont CALCULÉS depuis son tonnage (Empoissonnement) × le standard « sacs par tonne » de la feuille Aliments. Pour une vague particulière, vous pouvez taper un nombre de sacs par-dessus la formule. Kilos et coûts (remise fournisseur déduite) se calculent tout seuls ; la répartition de chaque granulé entre les mois du cycle suit la feuille Aliments.</t>
  </si>
  <si>
    <t>Objectif (t)</t>
  </si>
  <si>
    <t>Total sacs</t>
  </si>
  <si>
    <t>Total kg</t>
  </si>
  <si>
    <t>Coût total aliments (FCFA, remise déduite)</t>
  </si>
  <si>
    <t>BESOINS EN ALIMENTS PAR MOIS ET PAR GRANULOMÉTRIE</t>
  </si>
  <si>
    <t>Détail par granulomètrie, calculé à partir de VOTRE saisie de la feuille « Aliment par vague », répartie entre granulométries selon la feuille Aliments. Le coût d'achat est au prix catalogue (avant remise fournisseur) ; la dépense réelle, remise déduite, est calculée dans les Prévisions.</t>
  </si>
  <si>
    <t>Quantités à prévoir (kg)</t>
  </si>
  <si>
    <t>Sacs à commander (nb)</t>
  </si>
  <si>
    <t>Mois</t>
  </si>
  <si>
    <t>TOTAL (kg)</t>
  </si>
  <si>
    <t>Coût d'achat du mois (FCFA)</t>
  </si>
  <si>
    <t>GANTT DES VAGUES — cycle de chaque vague dans le temps</t>
  </si>
  <si>
    <t>Une ligne par vague, une colonne par mois. M1 = empoissonnement et démarrage ; M2 = croissance, premières ventes en fin de mois ; M3 = gros des ventes jusqu'à la fin du stock.</t>
  </si>
  <si>
    <t>Légende :</t>
  </si>
  <si>
    <t>M1 — empoissonnement + démarrage</t>
  </si>
  <si>
    <t>M2 — croissance, 1res ventes en fin de mois</t>
  </si>
  <si>
    <t>M3 — gros des ventes, fin du stock</t>
  </si>
  <si>
    <t>PRÉVISIONS MENSUELLES — indicateurs en lignes, mois en colonnes</t>
  </si>
  <si>
    <t>Indicateur</t>
  </si>
  <si>
    <t>Empoissonné (t)</t>
  </si>
  <si>
    <t>Alevins à commander (nb)</t>
  </si>
  <si>
    <t>Besoin en aliments (kg)</t>
  </si>
  <si>
    <t>Ventes (t)</t>
  </si>
  <si>
    <t>Entrées — chiffre d'affaires (FCFA)</t>
  </si>
  <si>
    <t>Dépense aliments (FCFA)</t>
  </si>
  <si>
    <t>Dépense alevins (FCFA)</t>
  </si>
  <si>
    <t>Dépenses totales (FCFA)</t>
  </si>
  <si>
    <t>Résultat du mois (FCFA)</t>
  </si>
  <si>
    <t>Épargne conseillée (FCFA)</t>
  </si>
  <si>
    <t>Trésorerie cumulée (FCFA)</t>
  </si>
  <si>
    <t>aide : mois -1</t>
  </si>
  <si>
    <t>aide : mois -2</t>
  </si>
  <si>
    <t>Tonnage total vendu (t)</t>
  </si>
  <si>
    <t>Entrées totales — chiffre d'affaires (FCFA)</t>
  </si>
  <si>
    <t xml:space="preserve">   dont aliments (FCFA)</t>
  </si>
  <si>
    <t xml:space="preserve">   dont alevins (FCFA)</t>
  </si>
  <si>
    <t>Résultat cumulé (FCFA)</t>
  </si>
  <si>
    <t>Épargne potentielle cumulée (FCFA)</t>
  </si>
  <si>
    <t>Trésorerie finale (FCFA)</t>
  </si>
  <si>
    <t>Point le plus bas de la trésorerie (FCFA)</t>
  </si>
  <si>
    <t>Si négatif : montant de financement à prévoir pendant la montée en charge.</t>
  </si>
  <si>
    <t>Alevins à commander sur la période (nb)</t>
  </si>
  <si>
    <t>Besoin mensuel maximal en aliments (kg)</t>
  </si>
  <si>
    <t>Le coût moyen inclut les « Autres dépenses » que vous saisissez dans les Prévisions.</t>
  </si>
  <si>
    <t>Alevins achetés ? (OUI/NON)</t>
  </si>
  <si>
    <t>NON</t>
  </si>
  <si>
    <t>SYNTHÈSE — août 2026 à avril 2028</t>
  </si>
  <si>
    <t>Colonnes en bleu à modifier : C (tonnage visé) et F (alevins achetés ? OUI/NON — NON = alevins issus de votre production locale, coût nul). Le plan démarre en août 2026 (V1) et se termine en février 2028 (V19) ; les ventes du dernier cycle vont jusqu'en avril 2028.</t>
  </si>
  <si>
    <t>Mettre 0 % pour vendre la totalité au 3e mois ; augmenter si vous commencez à écouler dès la fin du 2e mois.</t>
  </si>
  <si>
    <t>Calculé : 100 % − part du 2e mois. Ex. : vague d'août → la totalité vendue en octobre.</t>
  </si>
  <si>
    <t>Sacs à acheter (total)</t>
  </si>
  <si>
    <t>Vague en 1er mois de cycle</t>
  </si>
  <si>
    <t>Vague en 2e mois de cycle</t>
  </si>
  <si>
    <t>Vague en 3e mois de cycle</t>
  </si>
  <si>
    <t>DÉTAIL PAR VAGUE — sacs consommés dans le mois (indicatif)</t>
  </si>
  <si>
    <t>LOGISTIQUE — transport au voyage</t>
  </si>
  <si>
    <t>Capacité d'un voyage — aliments (sacs)</t>
  </si>
  <si>
    <t>Nombre de sacs transportés par rotation.</t>
  </si>
  <si>
    <t>Coût d'un voyage — aliments (FCFA)</t>
  </si>
  <si>
    <t>Carburant + chauffeur + manutention, aller-retour.</t>
  </si>
  <si>
    <t>Capacité d'un voyage — poissons (kg)</t>
  </si>
  <si>
    <t>Charge utile par livraison de poisson vivant/frais.</t>
  </si>
  <si>
    <t>Coût d'un voyage — poissons (FCFA)</t>
  </si>
  <si>
    <t>Transport isotherme / glace incluse le cas échéant.</t>
  </si>
  <si>
    <t>Capacité d'un voyage — alevins (nb)</t>
  </si>
  <si>
    <t>Alevins transportés par rotation depuis l'écloserie.</t>
  </si>
  <si>
    <t>Coût d'un voyage — alevins (FCFA)</t>
  </si>
  <si>
    <t>Trajet écloserie → ferme.</t>
  </si>
  <si>
    <t>Saisie dans la feuille Dépenses (charges d'exploitation et charges ponctuelles). Le total remonte automatiquement dans les Prévisions.</t>
  </si>
  <si>
    <t>La logistique, elle, se calcule toute seule à partir des tarifs au voyage ci-dessus.</t>
  </si>
  <si>
    <t>DÉPENSES DÉTAILLÉES — postes en lignes, mois en colonnes</t>
  </si>
  <si>
    <t>Logistique : calculée automatiquement (tarifs au voyage, feuille Paramètres). Charges d'exploitation et ponctuelles : saisissez vos montants en bleu. Le TOTAL du mois remonte dans la ligne « Autres dépenses » des Prévisions.</t>
  </si>
  <si>
    <t>Poste de dépense</t>
  </si>
  <si>
    <t>LOGISTIQUE — calculée automatiquement</t>
  </si>
  <si>
    <t>Voyages aliments (nb)</t>
  </si>
  <si>
    <t>Transport des aliments (FCFA)</t>
  </si>
  <si>
    <t>Voyages poissons (nb)</t>
  </si>
  <si>
    <t>Livraison des poissons (FCFA)</t>
  </si>
  <si>
    <t>Voyages alevins (nb)</t>
  </si>
  <si>
    <t>Transport des alevins (FCFA)</t>
  </si>
  <si>
    <t>Sous-total logistique (FCFA)</t>
  </si>
  <si>
    <t>CHARGES D'EXPLOITATION — à saisir</t>
  </si>
  <si>
    <t>Main-d'œuvre et salaires</t>
  </si>
  <si>
    <t>Énergie et carburant</t>
  </si>
  <si>
    <t>Eau et pompage</t>
  </si>
  <si>
    <t>Entretien bassins et matériel</t>
  </si>
  <si>
    <t>Produits vétérinaires et intrants</t>
  </si>
  <si>
    <t>Loyer et redevances</t>
  </si>
  <si>
    <t>Communication et administratif</t>
  </si>
  <si>
    <t>Frais financiers et bancaires</t>
  </si>
  <si>
    <t>Sous-total exploitation (FCFA)</t>
  </si>
  <si>
    <t>TOTAL DÉPENSES DÉTAILLÉES (FCFA)</t>
  </si>
  <si>
    <t>Rappel — dépense aliments (FCFA)</t>
  </si>
  <si>
    <t>Rappel — dépense alevins (FCFA)</t>
  </si>
  <si>
    <t>COÛT COMPLET DU MOIS (FCFA)</t>
  </si>
  <si>
    <t>Autres dépenses (FCFA) — feuille Dépenses</t>
  </si>
  <si>
    <t xml:space="preserve">   dont autres dépenses (FCFA)</t>
  </si>
  <si>
    <t xml:space="preserve">      dont logistique (FCFA)</t>
  </si>
  <si>
    <t>JOURNAL DES DÉPENSES PONCTUELLES ET AFFECTÉES</t>
  </si>
  <si>
    <t>Une ligne par dépense. Mois : tapez le 1er du mois (ex. 01/11/2026). Vague : laissez vide si la dépense est générale. Catégorie : « Opérationnel » entre dans le coût de production, « Investissement » n'y entre pas. Ajoutez des lignes en tapant simplement sous la dernière — le tableau s'étend tout seul.</t>
  </si>
  <si>
    <t>Libellé</t>
  </si>
  <si>
    <t>Catégorie</t>
  </si>
  <si>
    <t>Exemple — 2 bacs de grossissement</t>
  </si>
  <si>
    <t>Investissement</t>
  </si>
  <si>
    <t>Exemple — analyse d'eau</t>
  </si>
  <si>
    <t>Opérationnel</t>
  </si>
  <si>
    <t>DÉPENSES PONCTUELLES — reprises du journal</t>
  </si>
  <si>
    <t xml:space="preserve">   Opérationnel — général (sans vague)</t>
  </si>
  <si>
    <t xml:space="preserve">   Opérationnel — affecté à une vague</t>
  </si>
  <si>
    <t xml:space="preserve">   Investissement / exceptionnel (hors CP)</t>
  </si>
  <si>
    <t>Sous-total journal (FCFA)</t>
  </si>
  <si>
    <t>Charges opérationnelles générales du mois (base de répartition)</t>
  </si>
  <si>
    <t>CHARGES OPÉRATIONNELLES DU MOIS — entrent dans le coût de production</t>
  </si>
  <si>
    <t>Investissements et exceptionnels — hors coût de production</t>
  </si>
  <si>
    <t>Montant</t>
  </si>
  <si>
    <t>FCFA</t>
  </si>
  <si>
    <t>Aliment mois 1 (kg)</t>
  </si>
  <si>
    <t>Aliment mois 2 (kg)</t>
  </si>
  <si>
    <t>Aliment mois 3 (kg)</t>
  </si>
  <si>
    <t>Quote-part charges mois 1 (FCFA)</t>
  </si>
  <si>
    <t>Quote-part charges mois 2 (FCFA)</t>
  </si>
  <si>
    <t>Quote-part charges mois 3 (FCFA)</t>
  </si>
  <si>
    <t>Quote-part charges générales — total (FCFA)</t>
  </si>
  <si>
    <t>Dépenses affectées à la vague (FCFA)</t>
  </si>
  <si>
    <t>Quote-part charges générales (FCFA)</t>
  </si>
  <si>
    <t>Coût complet de la vague (FCFA)</t>
  </si>
  <si>
    <t>COÛT DE PRODUCTION COMPLET (FCFA/kg)</t>
  </si>
  <si>
    <t>Marge nette attendue (FCFA)</t>
  </si>
  <si>
    <t>Coût de production partiel (FCFA/kg — aliments + alevins seuls)</t>
  </si>
  <si>
    <t xml:space="preserve">      dont charges d'exploitation (FCFA)</t>
  </si>
  <si>
    <t xml:space="preserve">      dont investissements et exceptionnels — hors CP (FCFA)</t>
  </si>
  <si>
    <t>Coût de production complet (FCFA / kg vendu, hors investissements)</t>
  </si>
  <si>
    <t>Marge nette moyenne (FCFA / kg vendu)</t>
  </si>
  <si>
    <t xml:space="preserve">   dont investissements (hors coût de production)</t>
  </si>
  <si>
    <t>Apport en capital (FCFA) — à saisir</t>
  </si>
  <si>
    <t>Total des entrées (FCFA)</t>
  </si>
  <si>
    <t>Apports en capital (FCFA)</t>
  </si>
  <si>
    <t>Dépenses aliments et alevins : calculées automatiquement (prix réels de la feuille Aliments, remises incluses). Ligne « Autres dépenses » : total de la feuille Dépenses (logistique calculée + charges saisies). Ventes = 3e mois de chaque vague (répartition pilotée par Paramètres B7/B8). Apport en capital : ligne à saisir librement (fonds propres, prêt, subvention) — elle s'ajoute au chiffre d'affaires dans le total des entrées. Les sacs par granulé reprennent la feuille Besoins aliments.</t>
  </si>
  <si>
    <t xml:space="preserve">   Crédits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</si>
</sst>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yyyy"/>
    <numFmt numFmtId="166" formatCode="#,##0;\(#,##0\);&quot;–&quot;"/>
    <numFmt numFmtId="167" formatCode="#,##0;;&quot;–&quot;"/>
  </numFmts>
  <fonts count="28" x14ac:knownFonts="1">
    <font>
      <sz val="11"/>
      <color theme="1"/>
      <name val="Calibri"/>
      <family val="2"/>
      <charset val="1"/>
    </font>
    <font>
      <b/>
      <sz val="14"/>
      <color rgb="FF1F4E5F"/>
      <name val="Arial"/>
      <family val="2"/>
    </font>
    <font>
      <i/>
      <sz val="10"/>
      <color rgb="FF000000"/>
      <name val="Arial"/>
      <family val="2"/>
    </font>
    <font>
      <b/>
      <sz val="11"/>
      <color rgb="FF1F4E5F"/>
      <name val="Arial"/>
      <family val="2"/>
    </font>
    <font>
      <sz val="10"/>
      <color rgb="FF000000"/>
      <name val="Arial"/>
      <family val="2"/>
    </font>
    <font>
      <b/>
      <sz val="10"/>
      <color rgb="FF0000FF"/>
      <name val="Arial"/>
      <family val="2"/>
    </font>
    <font>
      <b/>
      <sz val="10"/>
      <color rgb="FF000000"/>
      <name val="Arial"/>
      <family val="2"/>
    </font>
    <font>
      <b/>
      <sz val="10"/>
      <color rgb="FFFFFFFF"/>
      <name val="Arial"/>
      <family val="2"/>
    </font>
    <font>
      <b/>
      <sz val="10"/>
      <color rgb="FFC00000"/>
      <name val="Arial"/>
      <family val="2"/>
    </font>
    <font>
      <b/>
      <sz val="9"/>
      <color rgb="FF000000"/>
      <name val="Arial"/>
      <family val="2"/>
    </font>
    <font>
      <i/>
      <sz val="9"/>
      <color rgb="FF000000"/>
      <name val="Arial"/>
      <family val="2"/>
    </font>
    <font>
      <sz val="10"/>
      <color rgb="FF000000"/>
      <name val="Tahoma"/>
      <family val="2"/>
    </font>
    <font>
      <b/>
      <sz val="10"/>
      <color rgb="FF000000"/>
      <name val="Tahoma"/>
      <family val="2"/>
    </font>
    <font>
      <b/>
      <i/>
      <sz val="10"/>
      <color rgb="FF000000"/>
      <name val="Arial"/>
      <family val="2"/>
    </font>
    <font>
      <b/>
      <sz val="10"/>
      <color rgb="FF1F4E5F"/>
      <name val="Arial"/>
      <family val="2"/>
    </font>
    <font>
      <b/>
      <sz val="11"/>
      <color theme="1"/>
      <name val="Calibri"/>
      <family val="2"/>
      <charset val="1"/>
    </font>
    <font>
      <b/>
      <sz val="11"/>
      <color rgb="FF1F4E5F"/>
      <name val="Calibri"/>
      <family val="2"/>
      <charset val="1"/>
    </font>
    <font>
      <sz val="11"/>
      <color rgb="FF0000FF"/>
      <name val="Calibri"/>
      <family val="2"/>
      <charset val="1"/>
    </font>
    <font>
      <b/>
      <sz val="11"/>
      <color rgb="FF0000FF"/>
      <name val="Calibri"/>
      <family val="2"/>
      <charset val="1"/>
    </font>
    <font>
      <sz val="11"/>
      <color rgb="FF000000"/>
      <name val="Calibri"/>
      <family val="2"/>
      <charset val="1"/>
    </font>
    <font>
      <i/>
      <sz val="11"/>
      <color rgb="FF808080"/>
      <name val="Calibri"/>
      <family val="2"/>
      <charset val="1"/>
    </font>
    <font>
      <b/>
      <sz val="13"/>
      <color rgb="FF1F4E5F"/>
      <name val="Calibri"/>
      <family val="2"/>
      <charset val="1"/>
    </font>
    <font>
      <i/>
      <sz val="9"/>
      <color rgb="FF808080"/>
      <name val="Calibri"/>
      <family val="2"/>
      <charset val="1"/>
    </font>
    <font>
      <b/>
      <sz val="11"/>
      <color rgb="FFFFFFFF"/>
      <name val="Calibri"/>
      <family val="2"/>
      <charset val="1"/>
    </font>
    <font>
      <sz val="10"/>
      <color rgb="FF008000"/>
      <name val="Arial"/>
      <family val="2"/>
    </font>
    <font>
      <sz val="11"/>
      <color rgb="FF808080"/>
      <name val="Calibri"/>
      <family val="2"/>
      <charset val="1"/>
    </font>
    <font>
      <b/>
      <i/>
      <sz val="10"/>
      <color rgb="FF808080"/>
      <name val="Arial"/>
      <family val="2"/>
    </font>
    <font>
      <sz val="10"/>
      <color rgb="FF0000FF"/>
      <name val="Arial"/>
      <family val="2"/>
    </font>
  </fonts>
  <fills count="14">
    <fill>
      <patternFill patternType="none"/>
    </fill>
    <fill>
      <patternFill patternType="gray125"/>
    </fill>
    <fill>
      <patternFill patternType="solid">
        <fgColor rgb="FFD9E2F3"/>
        <bgColor rgb="FFDDEBF7"/>
      </patternFill>
    </fill>
    <fill>
      <patternFill patternType="solid">
        <fgColor rgb="FFFFF2CC"/>
        <bgColor rgb="FFF2F2F2"/>
      </patternFill>
    </fill>
    <fill>
      <patternFill patternType="solid">
        <fgColor rgb="FF1F4E5F"/>
        <bgColor rgb="FF333333"/>
      </patternFill>
    </fill>
    <fill>
      <patternFill patternType="solid">
        <fgColor rgb="FFDDEBF7"/>
        <bgColor rgb="FFD9E2F3"/>
      </patternFill>
    </fill>
    <fill>
      <patternFill patternType="solid">
        <fgColor rgb="FFE2EFDA"/>
        <bgColor rgb="FFDDEBF7"/>
      </patternFill>
    </fill>
    <fill>
      <patternFill patternType="solid">
        <fgColor rgb="FFF2F2F2"/>
        <bgColor rgb="FFE2EFDA"/>
      </patternFill>
    </fill>
    <fill>
      <patternFill patternType="solid">
        <fgColor rgb="FF1F4E5F"/>
        <bgColor indexed="64"/>
      </patternFill>
    </fill>
    <fill>
      <patternFill patternType="solid">
        <fgColor rgb="FFFFF2CC"/>
        <bgColor indexed="64"/>
      </patternFill>
    </fill>
    <fill>
      <patternFill patternType="solid">
        <fgColor rgb="FFDCE6F1"/>
        <bgColor indexed="64"/>
      </patternFill>
    </fill>
    <fill>
      <patternFill patternType="solid">
        <fgColor rgb="FFFFFF00"/>
        <bgColor indexed="64"/>
      </patternFill>
    </fill>
    <fill>
      <patternFill patternType="solid">
        <fgColor rgb="FFFCE4D6"/>
        <bgColor indexed="64"/>
      </patternFill>
    </fill>
    <fill>
      <patternFill patternType="solid">
        <fgColor rgb="FFF2F2F2"/>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top style="thin">
        <color auto="1"/>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88">
    <xf numFmtId="0" fontId="0" fillId="0" borderId="0" xfId="0"/>
    <xf numFmtId="0" fontId="7" fillId="4" borderId="1" xfId="0" applyFont="1" applyFill="1" applyBorder="1" applyAlignment="1">
      <alignment horizontal="center" vertical="center" wrapText="1"/>
    </xf>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xf numFmtId="3" fontId="5" fillId="3" borderId="1" xfId="0" applyNumberFormat="1" applyFont="1" applyFill="1" applyBorder="1"/>
    <xf numFmtId="2" fontId="5" fillId="3" borderId="1" xfId="0" applyNumberFormat="1" applyFont="1" applyFill="1" applyBorder="1"/>
    <xf numFmtId="9" fontId="5" fillId="3" borderId="1" xfId="0" applyNumberFormat="1" applyFont="1" applyFill="1" applyBorder="1"/>
    <xf numFmtId="9" fontId="4" fillId="0" borderId="1" xfId="0" applyNumberFormat="1" applyFont="1" applyBorder="1"/>
    <xf numFmtId="164" fontId="5" fillId="3" borderId="1" xfId="0" applyNumberFormat="1" applyFont="1" applyFill="1" applyBorder="1"/>
    <xf numFmtId="2" fontId="4" fillId="0" borderId="1" xfId="0" applyNumberFormat="1" applyFont="1" applyBorder="1"/>
    <xf numFmtId="3" fontId="4" fillId="0" borderId="1" xfId="0" applyNumberFormat="1" applyFont="1" applyBorder="1"/>
    <xf numFmtId="0" fontId="6" fillId="0" borderId="0" xfId="0" applyFont="1"/>
    <xf numFmtId="3" fontId="6" fillId="0" borderId="1" xfId="0" applyNumberFormat="1" applyFont="1" applyBorder="1"/>
    <xf numFmtId="0" fontId="5" fillId="3" borderId="1" xfId="0" applyFont="1" applyFill="1" applyBorder="1"/>
    <xf numFmtId="0" fontId="8" fillId="0" borderId="1" xfId="0" applyFont="1" applyBorder="1"/>
    <xf numFmtId="0" fontId="4" fillId="0" borderId="1" xfId="0" applyFont="1" applyBorder="1"/>
    <xf numFmtId="165" fontId="4" fillId="0" borderId="1" xfId="0" applyNumberFormat="1" applyFont="1" applyBorder="1" applyAlignment="1">
      <alignment horizontal="center"/>
    </xf>
    <xf numFmtId="164" fontId="6" fillId="0" borderId="1" xfId="0" applyNumberFormat="1" applyFont="1" applyBorder="1"/>
    <xf numFmtId="0" fontId="6" fillId="0" borderId="1" xfId="0" applyFont="1" applyBorder="1"/>
    <xf numFmtId="164" fontId="4" fillId="0" borderId="1" xfId="0" applyNumberFormat="1" applyFont="1" applyBorder="1"/>
    <xf numFmtId="165" fontId="6" fillId="0" borderId="1" xfId="0" applyNumberFormat="1" applyFont="1" applyBorder="1" applyAlignment="1">
      <alignment horizontal="center"/>
    </xf>
    <xf numFmtId="165" fontId="4" fillId="0" borderId="1" xfId="0" applyNumberFormat="1" applyFont="1" applyBorder="1"/>
    <xf numFmtId="165" fontId="7" fillId="4" borderId="1" xfId="0" applyNumberFormat="1" applyFont="1" applyFill="1" applyBorder="1" applyAlignment="1">
      <alignment horizontal="center" vertical="center" wrapText="1"/>
    </xf>
    <xf numFmtId="0" fontId="9" fillId="0" borderId="1" xfId="0" applyFont="1" applyBorder="1" applyAlignment="1">
      <alignment horizontal="center"/>
    </xf>
    <xf numFmtId="0" fontId="10" fillId="5" borderId="0" xfId="0" applyFont="1" applyFill="1"/>
    <xf numFmtId="0" fontId="10" fillId="3" borderId="0" xfId="0" applyFont="1" applyFill="1"/>
    <xf numFmtId="0" fontId="10" fillId="6" borderId="0" xfId="0" applyFont="1" applyFill="1"/>
    <xf numFmtId="0" fontId="6" fillId="7" borderId="1" xfId="0" applyFont="1" applyFill="1" applyBorder="1"/>
    <xf numFmtId="3" fontId="6" fillId="0" borderId="0" xfId="0" applyNumberFormat="1" applyFont="1"/>
    <xf numFmtId="3" fontId="5" fillId="9" borderId="1" xfId="0" applyNumberFormat="1" applyFont="1" applyFill="1" applyBorder="1" applyAlignment="1">
      <alignment horizontal="center"/>
    </xf>
    <xf numFmtId="3" fontId="4" fillId="0" borderId="2" xfId="0" applyNumberFormat="1" applyFont="1" applyBorder="1"/>
    <xf numFmtId="9" fontId="4" fillId="0" borderId="3" xfId="0" applyNumberFormat="1" applyFont="1" applyBorder="1"/>
    <xf numFmtId="0" fontId="7" fillId="8" borderId="4" xfId="0" applyFont="1" applyFill="1" applyBorder="1" applyAlignment="1">
      <alignment horizontal="center" vertical="center" wrapText="1"/>
    </xf>
    <xf numFmtId="165" fontId="6" fillId="0" borderId="0" xfId="0" applyNumberFormat="1" applyFont="1" applyAlignment="1">
      <alignment horizontal="center"/>
    </xf>
    <xf numFmtId="49" fontId="2" fillId="0" borderId="1" xfId="0" applyNumberFormat="1" applyFont="1" applyBorder="1" applyAlignment="1">
      <alignment horizontal="center"/>
    </xf>
    <xf numFmtId="49" fontId="13" fillId="0" borderId="1" xfId="0" applyNumberFormat="1" applyFont="1" applyBorder="1" applyAlignment="1">
      <alignment horizontal="center"/>
    </xf>
    <xf numFmtId="0" fontId="14" fillId="10" borderId="1" xfId="0" applyFont="1" applyFill="1" applyBorder="1"/>
    <xf numFmtId="3" fontId="14" fillId="10" borderId="1" xfId="0" applyNumberFormat="1" applyFont="1" applyFill="1" applyBorder="1"/>
    <xf numFmtId="0" fontId="15" fillId="0" borderId="0" xfId="0" applyFont="1"/>
    <xf numFmtId="0" fontId="16" fillId="0" borderId="0" xfId="0" applyFont="1"/>
    <xf numFmtId="0" fontId="17" fillId="0" borderId="0" xfId="0" applyFont="1"/>
    <xf numFmtId="3" fontId="18" fillId="11" borderId="0" xfId="0" applyNumberFormat="1" applyFont="1" applyFill="1" applyAlignment="1">
      <alignment horizontal="center"/>
    </xf>
    <xf numFmtId="0" fontId="19" fillId="0" borderId="0" xfId="0" applyFont="1"/>
    <xf numFmtId="0" fontId="20" fillId="0" borderId="0" xfId="0" applyFont="1"/>
    <xf numFmtId="0" fontId="21" fillId="0" borderId="0" xfId="0" applyFont="1"/>
    <xf numFmtId="0" fontId="22" fillId="0" borderId="0" xfId="0" applyFont="1"/>
    <xf numFmtId="0" fontId="23" fillId="8" borderId="0" xfId="0" applyFont="1" applyFill="1"/>
    <xf numFmtId="0" fontId="23" fillId="8" borderId="0" xfId="0" applyFont="1" applyFill="1" applyAlignment="1">
      <alignment horizontal="center"/>
    </xf>
    <xf numFmtId="0" fontId="23" fillId="8" borderId="0" xfId="0" applyFont="1" applyFill="1" applyAlignment="1">
      <alignment horizontal="left"/>
    </xf>
    <xf numFmtId="0" fontId="15" fillId="10" borderId="0" xfId="0" applyFont="1" applyFill="1"/>
    <xf numFmtId="0" fontId="16" fillId="10" borderId="0" xfId="0" applyFont="1" applyFill="1"/>
    <xf numFmtId="0" fontId="15" fillId="0" borderId="5" xfId="0" applyFont="1" applyBorder="1"/>
    <xf numFmtId="0" fontId="15" fillId="12" borderId="0" xfId="0" applyFont="1" applyFill="1"/>
    <xf numFmtId="166" fontId="0" fillId="0" borderId="0" xfId="0" applyNumberFormat="1"/>
    <xf numFmtId="166" fontId="15" fillId="0" borderId="5" xfId="0" applyNumberFormat="1" applyFont="1" applyBorder="1"/>
    <xf numFmtId="166" fontId="16" fillId="10" borderId="0" xfId="0" applyNumberFormat="1" applyFont="1" applyFill="1"/>
    <xf numFmtId="166" fontId="23" fillId="8" borderId="0" xfId="0" applyNumberFormat="1" applyFont="1" applyFill="1"/>
    <xf numFmtId="166" fontId="15" fillId="12" borderId="0" xfId="0" applyNumberFormat="1" applyFont="1" applyFill="1"/>
    <xf numFmtId="167" fontId="0" fillId="0" borderId="0" xfId="0" applyNumberFormat="1"/>
    <xf numFmtId="166" fontId="17" fillId="0" borderId="0" xfId="0" applyNumberFormat="1" applyFont="1"/>
    <xf numFmtId="166" fontId="17" fillId="9" borderId="0" xfId="0" applyNumberFormat="1" applyFont="1" applyFill="1"/>
    <xf numFmtId="166" fontId="20" fillId="0" borderId="0" xfId="0" applyNumberFormat="1" applyFont="1"/>
    <xf numFmtId="165" fontId="23" fillId="8" borderId="0" xfId="0" applyNumberFormat="1" applyFont="1" applyFill="1" applyAlignment="1">
      <alignment horizontal="center"/>
    </xf>
    <xf numFmtId="3" fontId="24" fillId="0" borderId="1" xfId="0" applyNumberFormat="1" applyFont="1" applyBorder="1"/>
    <xf numFmtId="0" fontId="13" fillId="7" borderId="6" xfId="0" applyFont="1" applyFill="1" applyBorder="1"/>
    <xf numFmtId="166" fontId="6" fillId="0" borderId="1" xfId="0" applyNumberFormat="1" applyFont="1" applyBorder="1"/>
    <xf numFmtId="165" fontId="17" fillId="0" borderId="0" xfId="0" applyNumberFormat="1" applyFont="1"/>
    <xf numFmtId="0" fontId="25" fillId="0" borderId="0" xfId="0" applyFont="1"/>
    <xf numFmtId="0" fontId="7" fillId="10" borderId="1" xfId="0" applyFont="1" applyFill="1" applyBorder="1" applyAlignment="1">
      <alignment horizontal="center" vertical="center" wrapText="1"/>
    </xf>
    <xf numFmtId="166" fontId="0" fillId="10" borderId="0" xfId="0" applyNumberFormat="1" applyFill="1"/>
    <xf numFmtId="166" fontId="6" fillId="10" borderId="1" xfId="0" applyNumberFormat="1" applyFont="1" applyFill="1" applyBorder="1"/>
    <xf numFmtId="0" fontId="26" fillId="7" borderId="6" xfId="0" applyFont="1" applyFill="1" applyBorder="1"/>
    <xf numFmtId="166" fontId="26" fillId="0" borderId="6" xfId="0" applyNumberFormat="1" applyFont="1" applyBorder="1"/>
    <xf numFmtId="0" fontId="7" fillId="4" borderId="1" xfId="0" applyFont="1" applyFill="1" applyBorder="1" applyAlignment="1">
      <alignment horizontal="center" vertical="center" wrapText="1"/>
    </xf>
    <xf numFmtId="0" fontId="6" fillId="7" borderId="4" xfId="0" applyFont="1" applyFill="1" applyBorder="1"/>
    <xf numFmtId="3" fontId="4" fillId="0" borderId="4" xfId="0" applyNumberFormat="1" applyFont="1" applyBorder="1"/>
    <xf numFmtId="3" fontId="6" fillId="0" borderId="4" xfId="0" applyNumberFormat="1" applyFont="1" applyBorder="1"/>
    <xf numFmtId="0" fontId="6" fillId="7" borderId="7" xfId="0" applyFont="1" applyFill="1" applyBorder="1"/>
    <xf numFmtId="3" fontId="4" fillId="0" borderId="7" xfId="0" applyNumberFormat="1" applyFont="1" applyBorder="1"/>
    <xf numFmtId="3" fontId="6" fillId="0" borderId="7" xfId="0" applyNumberFormat="1" applyFont="1" applyBorder="1"/>
    <xf numFmtId="0" fontId="5" fillId="9" borderId="1" xfId="0" applyFont="1" applyFill="1" applyBorder="1"/>
    <xf numFmtId="3" fontId="27" fillId="9" borderId="1" xfId="0" applyNumberFormat="1" applyFont="1" applyFill="1" applyBorder="1"/>
    <xf numFmtId="3" fontId="5" fillId="9" borderId="1" xfId="0" applyNumberFormat="1" applyFont="1" applyFill="1" applyBorder="1"/>
    <xf numFmtId="0" fontId="6" fillId="13" borderId="1" xfId="0" applyFont="1" applyFill="1" applyBorder="1"/>
    <xf numFmtId="3" fontId="6" fillId="0" borderId="1" xfId="0" applyNumberFormat="1" applyFont="1" applyFill="1" applyBorder="1"/>
  </cellXfs>
  <cellStyles count="1">
    <cellStyle name="Normal" xfId="0" builtinId="0"/>
  </cellStyles>
  <dxfs count="10">
    <dxf>
      <fill>
        <patternFill>
          <bgColor rgb="FFE2EFDA"/>
        </patternFill>
      </fill>
    </dxf>
    <dxf>
      <fill>
        <patternFill>
          <bgColor rgb="FFFFF2CC"/>
        </patternFill>
      </fill>
    </dxf>
    <dxf>
      <fill>
        <patternFill>
          <bgColor rgb="FFDDEBF7"/>
        </patternFill>
      </fill>
    </dxf>
    <dxf>
      <font>
        <color rgb="FF0000FF"/>
      </font>
    </dxf>
    <dxf>
      <font>
        <color rgb="FF0000FF"/>
      </font>
      <numFmt numFmtId="166" formatCode="#,##0;\(#,##0\);&quot;–&quot;"/>
    </dxf>
    <dxf>
      <font>
        <color rgb="FF0000FF"/>
      </font>
    </dxf>
    <dxf>
      <font>
        <color rgb="FF0000FF"/>
      </font>
    </dxf>
    <dxf>
      <font>
        <color rgb="FF0000FF"/>
      </font>
    </dxf>
    <dxf>
      <font>
        <color rgb="FF0000FF"/>
      </font>
      <numFmt numFmtId="165" formatCode="mm/yyyy"/>
    </dxf>
    <dxf>
      <font>
        <color rgb="FF0000FF"/>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D9E2F3"/>
      <rgbColor rgb="FFFF99CC"/>
      <rgbColor rgb="FFCC99FF"/>
      <rgbColor rgb="FFFFCC99"/>
      <rgbColor rgb="FF2563EB"/>
      <rgbColor rgb="FF33CCCC"/>
      <rgbColor rgb="FF99CC00"/>
      <rgbColor rgb="FFFFCC00"/>
      <rgbColor rgb="FFFF9900"/>
      <rgbColor rgb="FFD97706"/>
      <rgbColor rgb="FF666699"/>
      <rgbColor rgb="FF94A3B8"/>
      <rgbColor rgb="FF1F4E5F"/>
      <rgbColor rgb="FF16A34A"/>
      <rgbColor rgb="FF003300"/>
      <rgbColor rgb="FF333300"/>
      <rgbColor rgb="FFDC262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Entrées (CA) vs Dépenses (FCFA)</a:t>
            </a:r>
          </a:p>
        </c:rich>
      </c:tx>
      <c:overlay val="0"/>
      <c:spPr>
        <a:noFill/>
        <a:ln w="0">
          <a:noFill/>
        </a:ln>
      </c:spPr>
    </c:title>
    <c:autoTitleDeleted val="0"/>
    <c:plotArea>
      <c:layout/>
      <c:lineChart>
        <c:grouping val="standard"/>
        <c:varyColors val="0"/>
        <c:ser>
          <c:idx val="0"/>
          <c:order val="0"/>
          <c:tx>
            <c:strRef>
              <c:f>Prévisions!$A$25</c:f>
              <c:strCache>
                <c:ptCount val="1"/>
                <c:pt idx="0">
                  <c:v>Entrées — chiffre d'affaires (FCFA)</c:v>
                </c:pt>
              </c:strCache>
            </c:strRef>
          </c:tx>
          <c:spPr>
            <a:ln w="21960">
              <a:solidFill>
                <a:srgbClr val="2563EB"/>
              </a:solidFill>
              <a:round/>
            </a:ln>
          </c:spPr>
          <c:marker>
            <c:symbol val="none"/>
          </c:marker>
          <c:dLbls>
            <c:spPr>
              <a:noFill/>
              <a:ln>
                <a:noFill/>
              </a:ln>
              <a:effectLst/>
            </c:spPr>
            <c:txPr>
              <a:bodyPr wrap="none"/>
              <a:lstStyle/>
              <a:p>
                <a:pPr>
                  <a:defRPr sz="1000" b="0" strike="noStrike" spc="-1">
                    <a:latin typeface="Arial"/>
                  </a:defRPr>
                </a:pPr>
                <a:endParaRPr lang="en-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Prévisions!$B$3:$R$3</c:f>
              <c:numCache>
                <c:formatCode>mm/yyyy</c:formatCode>
                <c:ptCount val="17"/>
                <c:pt idx="0">
                  <c:v>46235</c:v>
                </c:pt>
                <c:pt idx="1">
                  <c:v>46266</c:v>
                </c:pt>
                <c:pt idx="2">
                  <c:v>46296</c:v>
                </c:pt>
                <c:pt idx="3">
                  <c:v>46327</c:v>
                </c:pt>
                <c:pt idx="4">
                  <c:v>46357</c:v>
                </c:pt>
                <c:pt idx="5">
                  <c:v>46388</c:v>
                </c:pt>
                <c:pt idx="6">
                  <c:v>46419</c:v>
                </c:pt>
                <c:pt idx="7">
                  <c:v>46447</c:v>
                </c:pt>
                <c:pt idx="8">
                  <c:v>46478</c:v>
                </c:pt>
                <c:pt idx="9">
                  <c:v>46508</c:v>
                </c:pt>
                <c:pt idx="10">
                  <c:v>46539</c:v>
                </c:pt>
                <c:pt idx="11">
                  <c:v>46569</c:v>
                </c:pt>
                <c:pt idx="12">
                  <c:v>46600</c:v>
                </c:pt>
                <c:pt idx="13">
                  <c:v>46631</c:v>
                </c:pt>
                <c:pt idx="14">
                  <c:v>46661</c:v>
                </c:pt>
                <c:pt idx="15">
                  <c:v>46692</c:v>
                </c:pt>
                <c:pt idx="16">
                  <c:v>46722</c:v>
                </c:pt>
              </c:numCache>
            </c:numRef>
          </c:cat>
          <c:val>
            <c:numRef>
              <c:f>Prévisions!$B$25:$R$25</c:f>
              <c:numCache>
                <c:formatCode>#,##0</c:formatCode>
                <c:ptCount val="17"/>
                <c:pt idx="0">
                  <c:v>0</c:v>
                </c:pt>
                <c:pt idx="1">
                  <c:v>0</c:v>
                </c:pt>
                <c:pt idx="2">
                  <c:v>7600000</c:v>
                </c:pt>
                <c:pt idx="3">
                  <c:v>7600000</c:v>
                </c:pt>
                <c:pt idx="4">
                  <c:v>15200000</c:v>
                </c:pt>
                <c:pt idx="5">
                  <c:v>15200000</c:v>
                </c:pt>
                <c:pt idx="6">
                  <c:v>19000000</c:v>
                </c:pt>
                <c:pt idx="7">
                  <c:v>22800000</c:v>
                </c:pt>
                <c:pt idx="8">
                  <c:v>28500000</c:v>
                </c:pt>
                <c:pt idx="9">
                  <c:v>28500000</c:v>
                </c:pt>
                <c:pt idx="10">
                  <c:v>28500000</c:v>
                </c:pt>
                <c:pt idx="11">
                  <c:v>28500000</c:v>
                </c:pt>
                <c:pt idx="12">
                  <c:v>28500000</c:v>
                </c:pt>
                <c:pt idx="13">
                  <c:v>28500000</c:v>
                </c:pt>
                <c:pt idx="14">
                  <c:v>28500000</c:v>
                </c:pt>
                <c:pt idx="15">
                  <c:v>28500000</c:v>
                </c:pt>
                <c:pt idx="16">
                  <c:v>28500000</c:v>
                </c:pt>
              </c:numCache>
            </c:numRef>
          </c:val>
          <c:smooth val="0"/>
          <c:extLst>
            <c:ext xmlns:c16="http://schemas.microsoft.com/office/drawing/2014/chart" uri="{C3380CC4-5D6E-409C-BE32-E72D297353CC}">
              <c16:uniqueId val="{00000000-630C-0B4A-9893-099AFB945A5C}"/>
            </c:ext>
          </c:extLst>
        </c:ser>
        <c:ser>
          <c:idx val="1"/>
          <c:order val="1"/>
          <c:tx>
            <c:strRef>
              <c:f>Prévisions!$A$32</c:f>
              <c:strCache>
                <c:ptCount val="1"/>
                <c:pt idx="0">
                  <c:v>Dépenses totales (FCFA)</c:v>
                </c:pt>
              </c:strCache>
            </c:strRef>
          </c:tx>
          <c:spPr>
            <a:ln w="21960">
              <a:solidFill>
                <a:srgbClr val="DC2626"/>
              </a:solidFill>
              <a:round/>
            </a:ln>
          </c:spPr>
          <c:marker>
            <c:symbol val="none"/>
          </c:marker>
          <c:dLbls>
            <c:spPr>
              <a:noFill/>
              <a:ln>
                <a:noFill/>
              </a:ln>
              <a:effectLst/>
            </c:spPr>
            <c:txPr>
              <a:bodyPr wrap="none"/>
              <a:lstStyle/>
              <a:p>
                <a:pPr>
                  <a:defRPr sz="1000" b="0" strike="noStrike" spc="-1">
                    <a:latin typeface="Arial"/>
                  </a:defRPr>
                </a:pPr>
                <a:endParaRPr lang="en-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Prévisions!$B$3:$R$3</c:f>
              <c:numCache>
                <c:formatCode>mm/yyyy</c:formatCode>
                <c:ptCount val="17"/>
                <c:pt idx="0">
                  <c:v>46235</c:v>
                </c:pt>
                <c:pt idx="1">
                  <c:v>46266</c:v>
                </c:pt>
                <c:pt idx="2">
                  <c:v>46296</c:v>
                </c:pt>
                <c:pt idx="3">
                  <c:v>46327</c:v>
                </c:pt>
                <c:pt idx="4">
                  <c:v>46357</c:v>
                </c:pt>
                <c:pt idx="5">
                  <c:v>46388</c:v>
                </c:pt>
                <c:pt idx="6">
                  <c:v>46419</c:v>
                </c:pt>
                <c:pt idx="7">
                  <c:v>46447</c:v>
                </c:pt>
                <c:pt idx="8">
                  <c:v>46478</c:v>
                </c:pt>
                <c:pt idx="9">
                  <c:v>46508</c:v>
                </c:pt>
                <c:pt idx="10">
                  <c:v>46539</c:v>
                </c:pt>
                <c:pt idx="11">
                  <c:v>46569</c:v>
                </c:pt>
                <c:pt idx="12">
                  <c:v>46600</c:v>
                </c:pt>
                <c:pt idx="13">
                  <c:v>46631</c:v>
                </c:pt>
                <c:pt idx="14">
                  <c:v>46661</c:v>
                </c:pt>
                <c:pt idx="15">
                  <c:v>46692</c:v>
                </c:pt>
                <c:pt idx="16">
                  <c:v>46722</c:v>
                </c:pt>
              </c:numCache>
            </c:numRef>
          </c:cat>
          <c:val>
            <c:numRef>
              <c:f>Prévisions!$B$32:$R$32</c:f>
              <c:numCache>
                <c:formatCode>#,##0</c:formatCode>
                <c:ptCount val="17"/>
                <c:pt idx="0">
                  <c:v>1693400</c:v>
                </c:pt>
                <c:pt idx="1">
                  <c:v>4074000</c:v>
                </c:pt>
                <c:pt idx="2">
                  <c:v>6739464</c:v>
                </c:pt>
                <c:pt idx="3">
                  <c:v>8997840</c:v>
                </c:pt>
                <c:pt idx="4">
                  <c:v>11195736</c:v>
                </c:pt>
                <c:pt idx="5">
                  <c:v>17575432</c:v>
                </c:pt>
                <c:pt idx="6">
                  <c:v>20035988</c:v>
                </c:pt>
                <c:pt idx="7">
                  <c:v>17485900</c:v>
                </c:pt>
                <c:pt idx="8">
                  <c:v>22750600</c:v>
                </c:pt>
                <c:pt idx="9">
                  <c:v>35150600</c:v>
                </c:pt>
                <c:pt idx="10">
                  <c:v>22750600</c:v>
                </c:pt>
                <c:pt idx="11">
                  <c:v>18750600</c:v>
                </c:pt>
                <c:pt idx="12">
                  <c:v>18750600</c:v>
                </c:pt>
                <c:pt idx="13">
                  <c:v>18750600</c:v>
                </c:pt>
                <c:pt idx="14">
                  <c:v>18750600</c:v>
                </c:pt>
                <c:pt idx="15">
                  <c:v>18750600</c:v>
                </c:pt>
                <c:pt idx="16">
                  <c:v>18750600</c:v>
                </c:pt>
              </c:numCache>
            </c:numRef>
          </c:val>
          <c:smooth val="0"/>
          <c:extLst>
            <c:ext xmlns:c16="http://schemas.microsoft.com/office/drawing/2014/chart" uri="{C3380CC4-5D6E-409C-BE32-E72D297353CC}">
              <c16:uniqueId val="{00000001-630C-0B4A-9893-099AFB945A5C}"/>
            </c:ext>
          </c:extLst>
        </c:ser>
        <c:dLbls>
          <c:showLegendKey val="0"/>
          <c:showVal val="0"/>
          <c:showCatName val="0"/>
          <c:showSerName val="0"/>
          <c:showPercent val="0"/>
          <c:showBubbleSize val="0"/>
        </c:dLbls>
        <c:hiLowLines>
          <c:spPr>
            <a:ln w="0">
              <a:noFill/>
            </a:ln>
          </c:spPr>
        </c:hiLowLines>
        <c:smooth val="0"/>
        <c:axId val="34862081"/>
        <c:axId val="17592043"/>
      </c:lineChart>
      <c:dateAx>
        <c:axId val="34862081"/>
        <c:scaling>
          <c:orientation val="minMax"/>
        </c:scaling>
        <c:delete val="0"/>
        <c:axPos val="b"/>
        <c:numFmt formatCode="mm/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DE"/>
          </a:p>
        </c:txPr>
        <c:crossAx val="17592043"/>
        <c:crosses val="autoZero"/>
        <c:auto val="1"/>
        <c:lblOffset val="100"/>
        <c:baseTimeUnit val="months"/>
      </c:dateAx>
      <c:valAx>
        <c:axId val="17592043"/>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DE"/>
          </a:p>
        </c:txPr>
        <c:crossAx val="3486208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Tonnage empoissonné vs vendu (t)</a:t>
            </a:r>
          </a:p>
        </c:rich>
      </c:tx>
      <c:overlay val="0"/>
      <c:spPr>
        <a:noFill/>
        <a:ln w="0">
          <a:noFill/>
        </a:ln>
      </c:spPr>
    </c:title>
    <c:autoTitleDeleted val="0"/>
    <c:plotArea>
      <c:layout/>
      <c:barChart>
        <c:barDir val="col"/>
        <c:grouping val="clustered"/>
        <c:varyColors val="0"/>
        <c:ser>
          <c:idx val="0"/>
          <c:order val="0"/>
          <c:tx>
            <c:strRef>
              <c:f>Prévisions!$A$4</c:f>
              <c:strCache>
                <c:ptCount val="1"/>
                <c:pt idx="0">
                  <c:v>Empoissonné (t)</c:v>
                </c:pt>
              </c:strCache>
            </c:strRef>
          </c:tx>
          <c:spPr>
            <a:solidFill>
              <a:srgbClr val="94A3B8"/>
            </a:solidFill>
            <a:ln w="0">
              <a:noFill/>
            </a:ln>
          </c:spPr>
          <c:invertIfNegative val="0"/>
          <c:dLbls>
            <c:spPr>
              <a:noFill/>
              <a:ln>
                <a:noFill/>
              </a:ln>
              <a:effectLst/>
            </c:spPr>
            <c:txPr>
              <a:bodyPr wrap="none"/>
              <a:lstStyle/>
              <a:p>
                <a:pPr>
                  <a:defRPr sz="1000" b="0" strike="noStrike" spc="-1">
                    <a:latin typeface="Arial"/>
                  </a:defRPr>
                </a:pPr>
                <a:endParaRPr lang="en-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Prévisions!$B$3:$R$3</c:f>
              <c:numCache>
                <c:formatCode>mm/yyyy</c:formatCode>
                <c:ptCount val="17"/>
                <c:pt idx="0">
                  <c:v>46235</c:v>
                </c:pt>
                <c:pt idx="1">
                  <c:v>46266</c:v>
                </c:pt>
                <c:pt idx="2">
                  <c:v>46296</c:v>
                </c:pt>
                <c:pt idx="3">
                  <c:v>46327</c:v>
                </c:pt>
                <c:pt idx="4">
                  <c:v>46357</c:v>
                </c:pt>
                <c:pt idx="5">
                  <c:v>46388</c:v>
                </c:pt>
                <c:pt idx="6">
                  <c:v>46419</c:v>
                </c:pt>
                <c:pt idx="7">
                  <c:v>46447</c:v>
                </c:pt>
                <c:pt idx="8">
                  <c:v>46478</c:v>
                </c:pt>
                <c:pt idx="9">
                  <c:v>46508</c:v>
                </c:pt>
                <c:pt idx="10">
                  <c:v>46539</c:v>
                </c:pt>
                <c:pt idx="11">
                  <c:v>46569</c:v>
                </c:pt>
                <c:pt idx="12">
                  <c:v>46600</c:v>
                </c:pt>
                <c:pt idx="13">
                  <c:v>46631</c:v>
                </c:pt>
                <c:pt idx="14">
                  <c:v>46661</c:v>
                </c:pt>
                <c:pt idx="15">
                  <c:v>46692</c:v>
                </c:pt>
                <c:pt idx="16">
                  <c:v>46722</c:v>
                </c:pt>
              </c:numCache>
            </c:numRef>
          </c:cat>
          <c:val>
            <c:numRef>
              <c:f>Prévisions!$B$4:$R$4</c:f>
              <c:numCache>
                <c:formatCode>0.0</c:formatCode>
                <c:ptCount val="17"/>
                <c:pt idx="0">
                  <c:v>4</c:v>
                </c:pt>
                <c:pt idx="1">
                  <c:v>4</c:v>
                </c:pt>
                <c:pt idx="2">
                  <c:v>8</c:v>
                </c:pt>
                <c:pt idx="3">
                  <c:v>8</c:v>
                </c:pt>
                <c:pt idx="4">
                  <c:v>10</c:v>
                </c:pt>
                <c:pt idx="5">
                  <c:v>12</c:v>
                </c:pt>
                <c:pt idx="6">
                  <c:v>15</c:v>
                </c:pt>
                <c:pt idx="7">
                  <c:v>15</c:v>
                </c:pt>
                <c:pt idx="8">
                  <c:v>15</c:v>
                </c:pt>
                <c:pt idx="9">
                  <c:v>15</c:v>
                </c:pt>
                <c:pt idx="10">
                  <c:v>15</c:v>
                </c:pt>
                <c:pt idx="11">
                  <c:v>15</c:v>
                </c:pt>
                <c:pt idx="12">
                  <c:v>15</c:v>
                </c:pt>
                <c:pt idx="13">
                  <c:v>15</c:v>
                </c:pt>
                <c:pt idx="14">
                  <c:v>15</c:v>
                </c:pt>
                <c:pt idx="15">
                  <c:v>15</c:v>
                </c:pt>
                <c:pt idx="16">
                  <c:v>15</c:v>
                </c:pt>
              </c:numCache>
            </c:numRef>
          </c:val>
          <c:extLst>
            <c:ext xmlns:c16="http://schemas.microsoft.com/office/drawing/2014/chart" uri="{C3380CC4-5D6E-409C-BE32-E72D297353CC}">
              <c16:uniqueId val="{00000000-A5BB-8348-A242-72F01BDB0C2E}"/>
            </c:ext>
          </c:extLst>
        </c:ser>
        <c:ser>
          <c:idx val="1"/>
          <c:order val="1"/>
          <c:tx>
            <c:strRef>
              <c:f>Prévisions!$A$24</c:f>
              <c:strCache>
                <c:ptCount val="1"/>
                <c:pt idx="0">
                  <c:v>Ventes (t)</c:v>
                </c:pt>
              </c:strCache>
            </c:strRef>
          </c:tx>
          <c:spPr>
            <a:solidFill>
              <a:srgbClr val="2563EB"/>
            </a:solidFill>
            <a:ln w="0">
              <a:noFill/>
            </a:ln>
          </c:spPr>
          <c:invertIfNegative val="0"/>
          <c:dLbls>
            <c:spPr>
              <a:noFill/>
              <a:ln>
                <a:noFill/>
              </a:ln>
              <a:effectLst/>
            </c:spPr>
            <c:txPr>
              <a:bodyPr wrap="none"/>
              <a:lstStyle/>
              <a:p>
                <a:pPr>
                  <a:defRPr sz="1000" b="0" strike="noStrike" spc="-1">
                    <a:latin typeface="Arial"/>
                  </a:defRPr>
                </a:pPr>
                <a:endParaRPr lang="en-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Prévisions!$B$3:$R$3</c:f>
              <c:numCache>
                <c:formatCode>mm/yyyy</c:formatCode>
                <c:ptCount val="17"/>
                <c:pt idx="0">
                  <c:v>46235</c:v>
                </c:pt>
                <c:pt idx="1">
                  <c:v>46266</c:v>
                </c:pt>
                <c:pt idx="2">
                  <c:v>46296</c:v>
                </c:pt>
                <c:pt idx="3">
                  <c:v>46327</c:v>
                </c:pt>
                <c:pt idx="4">
                  <c:v>46357</c:v>
                </c:pt>
                <c:pt idx="5">
                  <c:v>46388</c:v>
                </c:pt>
                <c:pt idx="6">
                  <c:v>46419</c:v>
                </c:pt>
                <c:pt idx="7">
                  <c:v>46447</c:v>
                </c:pt>
                <c:pt idx="8">
                  <c:v>46478</c:v>
                </c:pt>
                <c:pt idx="9">
                  <c:v>46508</c:v>
                </c:pt>
                <c:pt idx="10">
                  <c:v>46539</c:v>
                </c:pt>
                <c:pt idx="11">
                  <c:v>46569</c:v>
                </c:pt>
                <c:pt idx="12">
                  <c:v>46600</c:v>
                </c:pt>
                <c:pt idx="13">
                  <c:v>46631</c:v>
                </c:pt>
                <c:pt idx="14">
                  <c:v>46661</c:v>
                </c:pt>
                <c:pt idx="15">
                  <c:v>46692</c:v>
                </c:pt>
                <c:pt idx="16">
                  <c:v>46722</c:v>
                </c:pt>
              </c:numCache>
            </c:numRef>
          </c:cat>
          <c:val>
            <c:numRef>
              <c:f>Prévisions!$B$24:$R$24</c:f>
              <c:numCache>
                <c:formatCode>0.0</c:formatCode>
                <c:ptCount val="17"/>
                <c:pt idx="0">
                  <c:v>0</c:v>
                </c:pt>
                <c:pt idx="1">
                  <c:v>0</c:v>
                </c:pt>
                <c:pt idx="2">
                  <c:v>4</c:v>
                </c:pt>
                <c:pt idx="3">
                  <c:v>4</c:v>
                </c:pt>
                <c:pt idx="4">
                  <c:v>8</c:v>
                </c:pt>
                <c:pt idx="5">
                  <c:v>8</c:v>
                </c:pt>
                <c:pt idx="6">
                  <c:v>10</c:v>
                </c:pt>
                <c:pt idx="7">
                  <c:v>12</c:v>
                </c:pt>
                <c:pt idx="8">
                  <c:v>15</c:v>
                </c:pt>
                <c:pt idx="9">
                  <c:v>15</c:v>
                </c:pt>
                <c:pt idx="10">
                  <c:v>15</c:v>
                </c:pt>
                <c:pt idx="11">
                  <c:v>15</c:v>
                </c:pt>
                <c:pt idx="12">
                  <c:v>15</c:v>
                </c:pt>
                <c:pt idx="13">
                  <c:v>15</c:v>
                </c:pt>
                <c:pt idx="14">
                  <c:v>15</c:v>
                </c:pt>
                <c:pt idx="15">
                  <c:v>15</c:v>
                </c:pt>
                <c:pt idx="16">
                  <c:v>15</c:v>
                </c:pt>
              </c:numCache>
            </c:numRef>
          </c:val>
          <c:extLst>
            <c:ext xmlns:c16="http://schemas.microsoft.com/office/drawing/2014/chart" uri="{C3380CC4-5D6E-409C-BE32-E72D297353CC}">
              <c16:uniqueId val="{00000001-A5BB-8348-A242-72F01BDB0C2E}"/>
            </c:ext>
          </c:extLst>
        </c:ser>
        <c:dLbls>
          <c:showLegendKey val="0"/>
          <c:showVal val="0"/>
          <c:showCatName val="0"/>
          <c:showSerName val="0"/>
          <c:showPercent val="0"/>
          <c:showBubbleSize val="0"/>
        </c:dLbls>
        <c:gapWidth val="150"/>
        <c:axId val="69491070"/>
        <c:axId val="75076198"/>
      </c:barChart>
      <c:dateAx>
        <c:axId val="69491070"/>
        <c:scaling>
          <c:orientation val="minMax"/>
        </c:scaling>
        <c:delete val="0"/>
        <c:axPos val="b"/>
        <c:numFmt formatCode="mm/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DE"/>
          </a:p>
        </c:txPr>
        <c:crossAx val="75076198"/>
        <c:crosses val="autoZero"/>
        <c:auto val="1"/>
        <c:lblOffset val="100"/>
        <c:baseTimeUnit val="months"/>
      </c:dateAx>
      <c:valAx>
        <c:axId val="7507619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DE"/>
          </a:p>
        </c:txPr>
        <c:crossAx val="6949107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Trésorerie cumulée (FCFA)</a:t>
            </a:r>
          </a:p>
        </c:rich>
      </c:tx>
      <c:overlay val="0"/>
      <c:spPr>
        <a:noFill/>
        <a:ln w="0">
          <a:noFill/>
        </a:ln>
      </c:spPr>
    </c:title>
    <c:autoTitleDeleted val="0"/>
    <c:plotArea>
      <c:layout/>
      <c:lineChart>
        <c:grouping val="standard"/>
        <c:varyColors val="0"/>
        <c:ser>
          <c:idx val="0"/>
          <c:order val="0"/>
          <c:tx>
            <c:strRef>
              <c:f>Prévisions!$A$35</c:f>
              <c:strCache>
                <c:ptCount val="1"/>
                <c:pt idx="0">
                  <c:v>Trésorerie cumulée (FCFA)</c:v>
                </c:pt>
              </c:strCache>
            </c:strRef>
          </c:tx>
          <c:spPr>
            <a:ln w="21960">
              <a:solidFill>
                <a:srgbClr val="16A34A"/>
              </a:solidFill>
              <a:round/>
            </a:ln>
          </c:spPr>
          <c:marker>
            <c:symbol val="none"/>
          </c:marker>
          <c:dLbls>
            <c:spPr>
              <a:noFill/>
              <a:ln>
                <a:noFill/>
              </a:ln>
              <a:effectLst/>
            </c:spPr>
            <c:txPr>
              <a:bodyPr wrap="none"/>
              <a:lstStyle/>
              <a:p>
                <a:pPr>
                  <a:defRPr sz="1000" b="0" strike="noStrike" spc="-1">
                    <a:latin typeface="Arial"/>
                  </a:defRPr>
                </a:pPr>
                <a:endParaRPr lang="en-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Prévisions!$B$3:$R$3</c:f>
              <c:numCache>
                <c:formatCode>mm/yyyy</c:formatCode>
                <c:ptCount val="17"/>
                <c:pt idx="0">
                  <c:v>46235</c:v>
                </c:pt>
                <c:pt idx="1">
                  <c:v>46266</c:v>
                </c:pt>
                <c:pt idx="2">
                  <c:v>46296</c:v>
                </c:pt>
                <c:pt idx="3">
                  <c:v>46327</c:v>
                </c:pt>
                <c:pt idx="4">
                  <c:v>46357</c:v>
                </c:pt>
                <c:pt idx="5">
                  <c:v>46388</c:v>
                </c:pt>
                <c:pt idx="6">
                  <c:v>46419</c:v>
                </c:pt>
                <c:pt idx="7">
                  <c:v>46447</c:v>
                </c:pt>
                <c:pt idx="8">
                  <c:v>46478</c:v>
                </c:pt>
                <c:pt idx="9">
                  <c:v>46508</c:v>
                </c:pt>
                <c:pt idx="10">
                  <c:v>46539</c:v>
                </c:pt>
                <c:pt idx="11">
                  <c:v>46569</c:v>
                </c:pt>
                <c:pt idx="12">
                  <c:v>46600</c:v>
                </c:pt>
                <c:pt idx="13">
                  <c:v>46631</c:v>
                </c:pt>
                <c:pt idx="14">
                  <c:v>46661</c:v>
                </c:pt>
                <c:pt idx="15">
                  <c:v>46692</c:v>
                </c:pt>
                <c:pt idx="16">
                  <c:v>46722</c:v>
                </c:pt>
              </c:numCache>
            </c:numRef>
          </c:cat>
          <c:val>
            <c:numRef>
              <c:f>Prévisions!$B$35:$R$35</c:f>
              <c:numCache>
                <c:formatCode>#,##0</c:formatCode>
                <c:ptCount val="17"/>
                <c:pt idx="0">
                  <c:v>2306600</c:v>
                </c:pt>
                <c:pt idx="1">
                  <c:v>4232600</c:v>
                </c:pt>
                <c:pt idx="2">
                  <c:v>9093136</c:v>
                </c:pt>
                <c:pt idx="3">
                  <c:v>7695296</c:v>
                </c:pt>
                <c:pt idx="4">
                  <c:v>15699560</c:v>
                </c:pt>
                <c:pt idx="5">
                  <c:v>23324128</c:v>
                </c:pt>
                <c:pt idx="6">
                  <c:v>24288140</c:v>
                </c:pt>
                <c:pt idx="7">
                  <c:v>29602240</c:v>
                </c:pt>
                <c:pt idx="8">
                  <c:v>35351640</c:v>
                </c:pt>
                <c:pt idx="9">
                  <c:v>28701040</c:v>
                </c:pt>
                <c:pt idx="10">
                  <c:v>34450440</c:v>
                </c:pt>
                <c:pt idx="11">
                  <c:v>44199840</c:v>
                </c:pt>
                <c:pt idx="12">
                  <c:v>53949240</c:v>
                </c:pt>
                <c:pt idx="13">
                  <c:v>63698640</c:v>
                </c:pt>
                <c:pt idx="14">
                  <c:v>73448040</c:v>
                </c:pt>
                <c:pt idx="15">
                  <c:v>83197440</c:v>
                </c:pt>
                <c:pt idx="16">
                  <c:v>92946840</c:v>
                </c:pt>
              </c:numCache>
            </c:numRef>
          </c:val>
          <c:smooth val="0"/>
          <c:extLst>
            <c:ext xmlns:c16="http://schemas.microsoft.com/office/drawing/2014/chart" uri="{C3380CC4-5D6E-409C-BE32-E72D297353CC}">
              <c16:uniqueId val="{00000000-C6EA-334B-96AB-80D808B44144}"/>
            </c:ext>
          </c:extLst>
        </c:ser>
        <c:dLbls>
          <c:showLegendKey val="0"/>
          <c:showVal val="0"/>
          <c:showCatName val="0"/>
          <c:showSerName val="0"/>
          <c:showPercent val="0"/>
          <c:showBubbleSize val="0"/>
        </c:dLbls>
        <c:hiLowLines>
          <c:spPr>
            <a:ln w="0">
              <a:noFill/>
            </a:ln>
          </c:spPr>
        </c:hiLowLines>
        <c:smooth val="0"/>
        <c:axId val="75490015"/>
        <c:axId val="28072994"/>
      </c:lineChart>
      <c:dateAx>
        <c:axId val="75490015"/>
        <c:scaling>
          <c:orientation val="minMax"/>
        </c:scaling>
        <c:delete val="0"/>
        <c:axPos val="b"/>
        <c:numFmt formatCode="mm/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DE"/>
          </a:p>
        </c:txPr>
        <c:crossAx val="28072994"/>
        <c:crosses val="autoZero"/>
        <c:auto val="1"/>
        <c:lblOffset val="100"/>
        <c:baseTimeUnit val="months"/>
      </c:dateAx>
      <c:valAx>
        <c:axId val="2807299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DE"/>
          </a:p>
        </c:txPr>
        <c:crossAx val="7549001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Besoin mensuel en aliments (kg)</a:t>
            </a:r>
          </a:p>
        </c:rich>
      </c:tx>
      <c:overlay val="0"/>
      <c:spPr>
        <a:noFill/>
        <a:ln w="0">
          <a:noFill/>
        </a:ln>
      </c:spPr>
    </c:title>
    <c:autoTitleDeleted val="0"/>
    <c:plotArea>
      <c:layout/>
      <c:barChart>
        <c:barDir val="col"/>
        <c:grouping val="clustered"/>
        <c:varyColors val="0"/>
        <c:ser>
          <c:idx val="0"/>
          <c:order val="0"/>
          <c:tx>
            <c:strRef>
              <c:f>Prévisions!$A$6</c:f>
              <c:strCache>
                <c:ptCount val="1"/>
                <c:pt idx="0">
                  <c:v>Besoin en aliments (kg)</c:v>
                </c:pt>
              </c:strCache>
            </c:strRef>
          </c:tx>
          <c:spPr>
            <a:solidFill>
              <a:srgbClr val="D97706"/>
            </a:solidFill>
            <a:ln w="0">
              <a:noFill/>
            </a:ln>
          </c:spPr>
          <c:invertIfNegative val="0"/>
          <c:dLbls>
            <c:spPr>
              <a:noFill/>
              <a:ln>
                <a:noFill/>
              </a:ln>
              <a:effectLst/>
            </c:spPr>
            <c:txPr>
              <a:bodyPr wrap="none"/>
              <a:lstStyle/>
              <a:p>
                <a:pPr>
                  <a:defRPr sz="1000" b="0" strike="noStrike" spc="-1">
                    <a:latin typeface="Arial"/>
                  </a:defRPr>
                </a:pPr>
                <a:endParaRPr lang="en-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Prévisions!$B$3:$R$3</c:f>
              <c:numCache>
                <c:formatCode>mm/yyyy</c:formatCode>
                <c:ptCount val="17"/>
                <c:pt idx="0">
                  <c:v>46235</c:v>
                </c:pt>
                <c:pt idx="1">
                  <c:v>46266</c:v>
                </c:pt>
                <c:pt idx="2">
                  <c:v>46296</c:v>
                </c:pt>
                <c:pt idx="3">
                  <c:v>46327</c:v>
                </c:pt>
                <c:pt idx="4">
                  <c:v>46357</c:v>
                </c:pt>
                <c:pt idx="5">
                  <c:v>46388</c:v>
                </c:pt>
                <c:pt idx="6">
                  <c:v>46419</c:v>
                </c:pt>
                <c:pt idx="7">
                  <c:v>46447</c:v>
                </c:pt>
                <c:pt idx="8">
                  <c:v>46478</c:v>
                </c:pt>
                <c:pt idx="9">
                  <c:v>46508</c:v>
                </c:pt>
                <c:pt idx="10">
                  <c:v>46539</c:v>
                </c:pt>
                <c:pt idx="11">
                  <c:v>46569</c:v>
                </c:pt>
                <c:pt idx="12">
                  <c:v>46600</c:v>
                </c:pt>
                <c:pt idx="13">
                  <c:v>46631</c:v>
                </c:pt>
                <c:pt idx="14">
                  <c:v>46661</c:v>
                </c:pt>
                <c:pt idx="15">
                  <c:v>46692</c:v>
                </c:pt>
                <c:pt idx="16">
                  <c:v>46722</c:v>
                </c:pt>
              </c:numCache>
            </c:numRef>
          </c:cat>
          <c:val>
            <c:numRef>
              <c:f>Prévisions!$B$6:$R$6</c:f>
              <c:numCache>
                <c:formatCode>#,##0</c:formatCode>
                <c:ptCount val="17"/>
                <c:pt idx="0">
                  <c:v>600</c:v>
                </c:pt>
                <c:pt idx="1">
                  <c:v>2760</c:v>
                </c:pt>
                <c:pt idx="2">
                  <c:v>5160</c:v>
                </c:pt>
                <c:pt idx="3">
                  <c:v>7320</c:v>
                </c:pt>
                <c:pt idx="4">
                  <c:v>9420</c:v>
                </c:pt>
                <c:pt idx="5">
                  <c:v>10800</c:v>
                </c:pt>
                <c:pt idx="6">
                  <c:v>13230</c:v>
                </c:pt>
                <c:pt idx="7">
                  <c:v>15750</c:v>
                </c:pt>
                <c:pt idx="8">
                  <c:v>17100</c:v>
                </c:pt>
                <c:pt idx="9">
                  <c:v>17100</c:v>
                </c:pt>
                <c:pt idx="10">
                  <c:v>17100</c:v>
                </c:pt>
                <c:pt idx="11">
                  <c:v>17100</c:v>
                </c:pt>
                <c:pt idx="12">
                  <c:v>17100</c:v>
                </c:pt>
                <c:pt idx="13">
                  <c:v>17100</c:v>
                </c:pt>
                <c:pt idx="14">
                  <c:v>17100</c:v>
                </c:pt>
                <c:pt idx="15">
                  <c:v>17100</c:v>
                </c:pt>
                <c:pt idx="16">
                  <c:v>17100</c:v>
                </c:pt>
              </c:numCache>
            </c:numRef>
          </c:val>
          <c:extLst>
            <c:ext xmlns:c16="http://schemas.microsoft.com/office/drawing/2014/chart" uri="{C3380CC4-5D6E-409C-BE32-E72D297353CC}">
              <c16:uniqueId val="{00000000-BFDD-4D47-A61E-2DDDEFB5DDAA}"/>
            </c:ext>
          </c:extLst>
        </c:ser>
        <c:dLbls>
          <c:showLegendKey val="0"/>
          <c:showVal val="0"/>
          <c:showCatName val="0"/>
          <c:showSerName val="0"/>
          <c:showPercent val="0"/>
          <c:showBubbleSize val="0"/>
        </c:dLbls>
        <c:gapWidth val="150"/>
        <c:axId val="11526226"/>
        <c:axId val="8592626"/>
      </c:barChart>
      <c:dateAx>
        <c:axId val="11526226"/>
        <c:scaling>
          <c:orientation val="minMax"/>
        </c:scaling>
        <c:delete val="0"/>
        <c:axPos val="b"/>
        <c:numFmt formatCode="mm/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DE"/>
          </a:p>
        </c:txPr>
        <c:crossAx val="8592626"/>
        <c:crosses val="autoZero"/>
        <c:auto val="1"/>
        <c:lblOffset val="100"/>
        <c:baseTimeUnit val="months"/>
      </c:dateAx>
      <c:valAx>
        <c:axId val="859262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DE"/>
          </a:p>
        </c:txPr>
        <c:crossAx val="1152622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160560</xdr:rowOff>
    </xdr:from>
    <xdr:to>
      <xdr:col>2</xdr:col>
      <xdr:colOff>3549600</xdr:colOff>
      <xdr:row>36</xdr:row>
      <xdr:rowOff>182880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38</xdr:row>
      <xdr:rowOff>160560</xdr:rowOff>
    </xdr:from>
    <xdr:to>
      <xdr:col>2</xdr:col>
      <xdr:colOff>3549600</xdr:colOff>
      <xdr:row>53</xdr:row>
      <xdr:rowOff>182880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55</xdr:row>
      <xdr:rowOff>160920</xdr:rowOff>
    </xdr:from>
    <xdr:to>
      <xdr:col>2</xdr:col>
      <xdr:colOff>3549600</xdr:colOff>
      <xdr:row>70</xdr:row>
      <xdr:rowOff>182880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72</xdr:row>
      <xdr:rowOff>160920</xdr:rowOff>
    </xdr:from>
    <xdr:to>
      <xdr:col>2</xdr:col>
      <xdr:colOff>3549600</xdr:colOff>
      <xdr:row>87</xdr:row>
      <xdr:rowOff>182880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65DF1E-9DDA-484F-9C1A-3835D190E2B2}" name="Journal" displayName="Journal" ref="A4:F6" totalsRowShown="0" dataDxfId="9">
  <autoFilter ref="A4:F6" xr:uid="{4965DF1E-9DDA-484F-9C1A-3835D190E2B2}"/>
  <tableColumns count="6">
    <tableColumn id="1" xr3:uid="{A1476917-F737-764A-950A-34ACF68E3991}" name="Mois" dataDxfId="8"/>
    <tableColumn id="2" xr3:uid="{B37D8034-7078-B648-B785-39E9C2084937}" name="Vague" dataDxfId="7"/>
    <tableColumn id="3" xr3:uid="{B84EB66C-5B8F-B04E-AD82-2762710175B4}" name="Libellé" dataDxfId="6"/>
    <tableColumn id="4" xr3:uid="{9C6FC681-FA00-6F4C-A351-96B03CA264AD}" name="Catégorie" dataDxfId="5"/>
    <tableColumn id="5" xr3:uid="{3501EC15-16F0-6048-AE94-8E40B42A5040}" name="Montant" dataDxfId="4"/>
    <tableColumn id="6" xr3:uid="{C622567E-9CA3-4840-BFFD-99449F488FE9}" name="FCFA"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1CF4061-F1AC-7A4A-B695-530D02E61581}">
  <we:reference id="29673e3c-d826-4f00-92ee-162334a52b1a" version="1.0.0.8" store="EXCatalog" storeType="EXCatalog"/>
  <we:alternateReferences>
    <we:reference id="WA200009404" version="1.0.0.8" store="en-GB" storeType="OMEX"/>
  </we:alternateReferences>
  <we:properties>
    <we:property name="claude.fileId" value="&quot;9f5c642b-e512-4d6e-ace5-f6ffe00b64e3&quot;"/>
  </we:properties>
  <we:bindings/>
  <we:snapshot xmlns:r="http://schemas.openxmlformats.org/officeDocument/2006/relationships"/>
</we:webextension>
</file>

<file path=xl/webextensions/webextension2.xml><?xml version="1.0" encoding="utf-8"?>
<we:webextension xmlns:we="http://schemas.microsoft.com/office/webextensions/webextension/2010/11" id="{F7FAD4A0-7F89-3348-9EB0-C57F7C7CD5A3}">
  <we:reference id="11d7cf85-ae5a-43b8-bc58-1e1a151cce24" version="1.0.0.1" store="EXCatalog" storeType="EXCatalog"/>
  <we:alternateReferences>
    <we:reference id="WA200010725" version="1.0.0.1" store="en-GB" storeType="OMEX"/>
  </we:alternateReferences>
  <we:properties>
    <we:property name="claude.fileId" value="&quot;7bc5e9a8-8e36-4a56-8c06-6a1fdde04acb&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zoomScale="130" zoomScaleNormal="130" workbookViewId="0"/>
  </sheetViews>
  <sheetFormatPr baseColWidth="10" defaultColWidth="8.6640625" defaultRowHeight="15" x14ac:dyDescent="0.2"/>
  <cols>
    <col min="1" max="1" width="52" customWidth="1"/>
    <col min="2" max="2" width="14" customWidth="1"/>
    <col min="3" max="3" width="64" customWidth="1"/>
  </cols>
  <sheetData>
    <row r="1" spans="1:4" ht="18" x14ac:dyDescent="0.2">
      <c r="A1" s="2" t="s">
        <v>0</v>
      </c>
    </row>
    <row r="2" spans="1:4" x14ac:dyDescent="0.2">
      <c r="A2" s="3" t="s">
        <v>1</v>
      </c>
    </row>
    <row r="4" spans="1:4" x14ac:dyDescent="0.2">
      <c r="A4" s="4" t="s">
        <v>2</v>
      </c>
      <c r="B4" s="5"/>
      <c r="C4" s="5"/>
    </row>
    <row r="5" spans="1:4" x14ac:dyDescent="0.2">
      <c r="A5" s="6" t="s">
        <v>3</v>
      </c>
      <c r="B5" s="7">
        <v>1900</v>
      </c>
    </row>
    <row r="6" spans="1:4" x14ac:dyDescent="0.2">
      <c r="A6" s="6" t="s">
        <v>4</v>
      </c>
      <c r="B6" s="8">
        <v>0.4</v>
      </c>
      <c r="C6" s="3" t="s">
        <v>5</v>
      </c>
    </row>
    <row r="7" spans="1:4" x14ac:dyDescent="0.2">
      <c r="A7" s="6" t="s">
        <v>6</v>
      </c>
      <c r="B7" s="9">
        <v>0</v>
      </c>
      <c r="C7" s="3" t="s">
        <v>140</v>
      </c>
    </row>
    <row r="8" spans="1:4" x14ac:dyDescent="0.2">
      <c r="A8" s="6" t="s">
        <v>7</v>
      </c>
      <c r="B8" s="10">
        <f>1-B7</f>
        <v>1</v>
      </c>
      <c r="C8" s="3" t="s">
        <v>141</v>
      </c>
    </row>
    <row r="10" spans="1:4" x14ac:dyDescent="0.2">
      <c r="A10" s="4" t="s">
        <v>8</v>
      </c>
      <c r="B10" s="5"/>
      <c r="C10" s="5"/>
    </row>
    <row r="11" spans="1:4" x14ac:dyDescent="0.2">
      <c r="A11" s="6" t="s">
        <v>9</v>
      </c>
      <c r="B11" s="9">
        <v>0.1</v>
      </c>
      <c r="C11" s="3" t="s">
        <v>10</v>
      </c>
    </row>
    <row r="12" spans="1:4" x14ac:dyDescent="0.2">
      <c r="A12" s="6" t="s">
        <v>11</v>
      </c>
      <c r="B12" s="7">
        <v>70</v>
      </c>
      <c r="C12" s="3" t="s">
        <v>12</v>
      </c>
    </row>
    <row r="14" spans="1:4" x14ac:dyDescent="0.2">
      <c r="A14" s="4" t="s">
        <v>13</v>
      </c>
      <c r="B14" s="5"/>
      <c r="C14" s="5"/>
    </row>
    <row r="15" spans="1:4" x14ac:dyDescent="0.2">
      <c r="A15" s="3" t="s">
        <v>14</v>
      </c>
    </row>
    <row r="16" spans="1:4" x14ac:dyDescent="0.2">
      <c r="A16" s="6" t="s">
        <v>15</v>
      </c>
      <c r="B16" s="11">
        <v>0</v>
      </c>
      <c r="C16" s="9">
        <v>0</v>
      </c>
      <c r="D16" s="3" t="s">
        <v>16</v>
      </c>
    </row>
    <row r="17" spans="1:3" x14ac:dyDescent="0.2">
      <c r="A17" s="6" t="s">
        <v>17</v>
      </c>
      <c r="B17" s="11">
        <v>5</v>
      </c>
      <c r="C17" s="9">
        <v>0.02</v>
      </c>
    </row>
    <row r="18" spans="1:3" x14ac:dyDescent="0.2">
      <c r="A18" s="6" t="s">
        <v>18</v>
      </c>
      <c r="B18" s="11">
        <v>10</v>
      </c>
      <c r="C18" s="9">
        <v>0.04</v>
      </c>
    </row>
    <row r="19" spans="1:3" x14ac:dyDescent="0.2">
      <c r="A19" s="6" t="s">
        <v>19</v>
      </c>
      <c r="B19" s="11">
        <v>15</v>
      </c>
      <c r="C19" s="9">
        <v>0.06</v>
      </c>
    </row>
    <row r="21" spans="1:3" x14ac:dyDescent="0.2">
      <c r="A21" s="4" t="s">
        <v>20</v>
      </c>
      <c r="B21" s="5"/>
      <c r="C21" s="5"/>
    </row>
    <row r="22" spans="1:3" x14ac:dyDescent="0.2">
      <c r="A22" s="6" t="s">
        <v>21</v>
      </c>
      <c r="B22" s="12">
        <f>Aliments!$D$11/1000</f>
        <v>1.1399999999999999</v>
      </c>
      <c r="C22" s="3" t="s">
        <v>22</v>
      </c>
    </row>
    <row r="24" spans="1:3" x14ac:dyDescent="0.2">
      <c r="A24" s="42" t="s">
        <v>147</v>
      </c>
    </row>
    <row r="25" spans="1:3" x14ac:dyDescent="0.2">
      <c r="A25" s="45" t="s">
        <v>148</v>
      </c>
      <c r="B25" s="44">
        <v>60</v>
      </c>
      <c r="C25" s="46" t="s">
        <v>149</v>
      </c>
    </row>
    <row r="26" spans="1:3" x14ac:dyDescent="0.2">
      <c r="A26" s="45" t="s">
        <v>150</v>
      </c>
      <c r="B26" s="44">
        <v>15000</v>
      </c>
      <c r="C26" s="46" t="s">
        <v>151</v>
      </c>
    </row>
    <row r="27" spans="1:3" x14ac:dyDescent="0.2">
      <c r="A27" s="45" t="s">
        <v>152</v>
      </c>
      <c r="B27" s="44">
        <v>1500</v>
      </c>
      <c r="C27" s="46" t="s">
        <v>153</v>
      </c>
    </row>
    <row r="28" spans="1:3" x14ac:dyDescent="0.2">
      <c r="A28" s="45" t="s">
        <v>154</v>
      </c>
      <c r="B28" s="44">
        <v>25000</v>
      </c>
      <c r="C28" s="46" t="s">
        <v>155</v>
      </c>
    </row>
    <row r="29" spans="1:3" x14ac:dyDescent="0.2">
      <c r="A29" s="45" t="s">
        <v>156</v>
      </c>
      <c r="B29" s="44">
        <v>20000</v>
      </c>
      <c r="C29" s="46" t="s">
        <v>157</v>
      </c>
    </row>
    <row r="30" spans="1:3" x14ac:dyDescent="0.2">
      <c r="A30" s="45" t="s">
        <v>158</v>
      </c>
      <c r="B30" s="44">
        <v>30000</v>
      </c>
      <c r="C30" s="46" t="s">
        <v>159</v>
      </c>
    </row>
    <row r="32" spans="1:3" x14ac:dyDescent="0.2">
      <c r="A32" s="4" t="s">
        <v>23</v>
      </c>
      <c r="B32" s="5"/>
      <c r="C32" s="5"/>
    </row>
    <row r="33" spans="1:3" x14ac:dyDescent="0.2">
      <c r="A33" s="6" t="s">
        <v>160</v>
      </c>
      <c r="C33" s="3" t="s">
        <v>161</v>
      </c>
    </row>
    <row r="35" spans="1:3" x14ac:dyDescent="0.2">
      <c r="A35" s="4" t="s">
        <v>24</v>
      </c>
      <c r="B35" s="5"/>
      <c r="C35" s="5"/>
    </row>
    <row r="36" spans="1:3" x14ac:dyDescent="0.2">
      <c r="A36" s="6" t="s">
        <v>25</v>
      </c>
      <c r="B36" s="9">
        <v>0.3</v>
      </c>
    </row>
    <row r="37" spans="1:3" x14ac:dyDescent="0.2">
      <c r="A37" s="6" t="s">
        <v>26</v>
      </c>
      <c r="B37" s="7">
        <v>0</v>
      </c>
    </row>
    <row r="39" spans="1:3" x14ac:dyDescent="0.2">
      <c r="A39" s="4" t="s">
        <v>27</v>
      </c>
      <c r="B39" s="5"/>
      <c r="C39" s="5"/>
    </row>
    <row r="40" spans="1:3" x14ac:dyDescent="0.2">
      <c r="A40" s="6" t="s">
        <v>28</v>
      </c>
      <c r="B40" s="13">
        <f>Aliments!$D$13</f>
        <v>1216</v>
      </c>
    </row>
    <row r="41" spans="1:3" x14ac:dyDescent="0.2">
      <c r="A41" s="6" t="s">
        <v>29</v>
      </c>
      <c r="B41" s="13">
        <f>IF(B6=0,0,B12*(1+B11)/B6)</f>
        <v>192.5</v>
      </c>
    </row>
    <row r="42" spans="1:3" x14ac:dyDescent="0.2">
      <c r="A42" s="14" t="s">
        <v>30</v>
      </c>
      <c r="B42" s="15">
        <f>B40+B41</f>
        <v>1408.5</v>
      </c>
    </row>
    <row r="43" spans="1:3" x14ac:dyDescent="0.2">
      <c r="A43" s="6" t="s">
        <v>31</v>
      </c>
      <c r="B43" s="13">
        <f>B42*(1-INDEX($C$16:$C$19,MATCH(15,$B$16:$B$19,1)))</f>
        <v>1323.99</v>
      </c>
    </row>
    <row r="44" spans="1:3" x14ac:dyDescent="0.2">
      <c r="A44" s="14" t="s">
        <v>32</v>
      </c>
      <c r="B44" s="15">
        <f>15000*(B5-B43)</f>
        <v>8640150</v>
      </c>
      <c r="C44" s="3" t="s">
        <v>33</v>
      </c>
    </row>
    <row r="45" spans="1:3" x14ac:dyDescent="0.2">
      <c r="A45" s="6" t="s">
        <v>34</v>
      </c>
      <c r="B45" s="13">
        <f>IF(B6=0,0,15000/B6)</f>
        <v>37500</v>
      </c>
    </row>
    <row r="46" spans="1:3" x14ac:dyDescent="0.2">
      <c r="A46" s="6" t="s">
        <v>35</v>
      </c>
      <c r="B46" s="13">
        <f>B45*(1+B11)</f>
        <v>41250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zoomScaleNormal="100" workbookViewId="0">
      <selection activeCell="J7" sqref="J7"/>
    </sheetView>
  </sheetViews>
  <sheetFormatPr baseColWidth="10" defaultColWidth="8.6640625" defaultRowHeight="15" x14ac:dyDescent="0.2"/>
  <cols>
    <col min="1" max="1" width="20" customWidth="1"/>
    <col min="2" max="2" width="13" customWidth="1"/>
    <col min="3" max="3" width="14" customWidth="1"/>
    <col min="4" max="4" width="15" customWidth="1"/>
    <col min="5" max="5" width="13" customWidth="1"/>
    <col min="6" max="6" width="14" customWidth="1"/>
    <col min="7" max="9" width="13" customWidth="1"/>
    <col min="10" max="10" width="15" customWidth="1"/>
    <col min="11" max="11" width="10" customWidth="1"/>
  </cols>
  <sheetData>
    <row r="1" spans="1:11" ht="18" x14ac:dyDescent="0.2">
      <c r="A1" s="2" t="s">
        <v>36</v>
      </c>
    </row>
    <row r="2" spans="1:11" x14ac:dyDescent="0.2">
      <c r="A2" s="3" t="s">
        <v>37</v>
      </c>
    </row>
    <row r="3" spans="1:11" ht="42" x14ac:dyDescent="0.2">
      <c r="A3" s="1" t="s">
        <v>38</v>
      </c>
      <c r="B3" s="1" t="s">
        <v>39</v>
      </c>
      <c r="C3" s="1" t="s">
        <v>40</v>
      </c>
      <c r="D3" s="1" t="s">
        <v>41</v>
      </c>
      <c r="E3" s="1" t="s">
        <v>42</v>
      </c>
      <c r="F3" s="1" t="s">
        <v>43</v>
      </c>
      <c r="G3" s="1" t="s">
        <v>44</v>
      </c>
      <c r="H3" s="1" t="s">
        <v>45</v>
      </c>
      <c r="I3" s="1" t="s">
        <v>46</v>
      </c>
      <c r="J3" s="1" t="s">
        <v>47</v>
      </c>
      <c r="K3" s="1" t="s">
        <v>48</v>
      </c>
    </row>
    <row r="4" spans="1:11" x14ac:dyDescent="0.2">
      <c r="A4" s="16" t="s">
        <v>49</v>
      </c>
      <c r="B4" s="16" t="s">
        <v>50</v>
      </c>
      <c r="C4" s="7">
        <v>15</v>
      </c>
      <c r="D4" s="7">
        <v>18000</v>
      </c>
      <c r="E4" s="13">
        <f t="shared" ref="E4:E9" si="0">IF(N(C4)=0,0,D4/C4)</f>
        <v>1200</v>
      </c>
      <c r="F4" s="9">
        <v>0.8</v>
      </c>
      <c r="G4" s="9">
        <v>0.2</v>
      </c>
      <c r="H4" s="9"/>
      <c r="I4" s="10">
        <f t="shared" ref="I4:I9" si="1">SUM(F4:H4)</f>
        <v>1</v>
      </c>
      <c r="J4" s="11">
        <v>8</v>
      </c>
      <c r="K4" s="17" t="str">
        <f t="shared" ref="K4:K9" si="2">IF(N(J4)=0,"",IF(ABS(I4-1)&lt;0.001,"OK","≠ 100%"))</f>
        <v>OK</v>
      </c>
    </row>
    <row r="5" spans="1:11" x14ac:dyDescent="0.2">
      <c r="A5" s="16" t="s">
        <v>51</v>
      </c>
      <c r="B5" s="16" t="s">
        <v>50</v>
      </c>
      <c r="C5" s="7">
        <v>15</v>
      </c>
      <c r="D5" s="7">
        <v>16500</v>
      </c>
      <c r="E5" s="13">
        <f t="shared" si="0"/>
        <v>1100</v>
      </c>
      <c r="F5" s="9">
        <v>0.2</v>
      </c>
      <c r="G5" s="9">
        <v>0.8</v>
      </c>
      <c r="H5" s="9"/>
      <c r="I5" s="10">
        <f t="shared" si="1"/>
        <v>1</v>
      </c>
      <c r="J5" s="11">
        <v>18</v>
      </c>
      <c r="K5" s="17" t="str">
        <f t="shared" si="2"/>
        <v>OK</v>
      </c>
    </row>
    <row r="6" spans="1:11" x14ac:dyDescent="0.2">
      <c r="A6" s="16" t="s">
        <v>52</v>
      </c>
      <c r="B6" s="16" t="s">
        <v>53</v>
      </c>
      <c r="C6" s="7">
        <v>15</v>
      </c>
      <c r="D6" s="7">
        <v>15500</v>
      </c>
      <c r="E6" s="13">
        <f t="shared" si="0"/>
        <v>1033.3333333333333</v>
      </c>
      <c r="F6" s="9"/>
      <c r="G6" s="9">
        <v>0.4</v>
      </c>
      <c r="H6" s="9">
        <v>0.6</v>
      </c>
      <c r="I6" s="10">
        <f t="shared" si="1"/>
        <v>1</v>
      </c>
      <c r="J6" s="11">
        <v>50</v>
      </c>
      <c r="K6" s="17" t="str">
        <f t="shared" si="2"/>
        <v>OK</v>
      </c>
    </row>
    <row r="7" spans="1:11" x14ac:dyDescent="0.2">
      <c r="A7" s="16"/>
      <c r="B7" s="16"/>
      <c r="C7" s="7"/>
      <c r="D7" s="7"/>
      <c r="E7" s="13">
        <f t="shared" si="0"/>
        <v>0</v>
      </c>
      <c r="F7" s="9"/>
      <c r="G7" s="9"/>
      <c r="H7" s="9"/>
      <c r="I7" s="10">
        <f t="shared" si="1"/>
        <v>0</v>
      </c>
      <c r="J7" s="11"/>
      <c r="K7" s="17" t="str">
        <f t="shared" si="2"/>
        <v/>
      </c>
    </row>
    <row r="8" spans="1:11" x14ac:dyDescent="0.2">
      <c r="A8" s="16"/>
      <c r="B8" s="16"/>
      <c r="C8" s="7"/>
      <c r="D8" s="7"/>
      <c r="E8" s="13">
        <f t="shared" si="0"/>
        <v>0</v>
      </c>
      <c r="F8" s="9"/>
      <c r="G8" s="9"/>
      <c r="H8" s="9"/>
      <c r="I8" s="10">
        <f t="shared" si="1"/>
        <v>0</v>
      </c>
      <c r="J8" s="11"/>
      <c r="K8" s="17" t="str">
        <f t="shared" si="2"/>
        <v/>
      </c>
    </row>
    <row r="9" spans="1:11" x14ac:dyDescent="0.2">
      <c r="A9" s="16"/>
      <c r="B9" s="16"/>
      <c r="C9" s="7"/>
      <c r="D9" s="7"/>
      <c r="E9" s="13">
        <f t="shared" si="0"/>
        <v>0</v>
      </c>
      <c r="F9" s="9"/>
      <c r="G9" s="9"/>
      <c r="H9" s="9"/>
      <c r="I9" s="10">
        <f t="shared" si="1"/>
        <v>0</v>
      </c>
      <c r="J9" s="11"/>
      <c r="K9" s="17" t="str">
        <f t="shared" si="2"/>
        <v/>
      </c>
    </row>
    <row r="11" spans="1:11" x14ac:dyDescent="0.2">
      <c r="A11" s="14" t="s">
        <v>54</v>
      </c>
      <c r="D11" s="15">
        <f>SUMPRODUCT($J$4:$J$9,$C$4:$C$9)</f>
        <v>1140</v>
      </c>
    </row>
    <row r="12" spans="1:11" x14ac:dyDescent="0.2">
      <c r="A12" s="6" t="s">
        <v>55</v>
      </c>
      <c r="D12" s="13">
        <f>SUMPRODUCT($J$4:$J$9,$D$4:$D$9)</f>
        <v>1216000</v>
      </c>
    </row>
    <row r="13" spans="1:11" x14ac:dyDescent="0.2">
      <c r="A13" s="14" t="s">
        <v>56</v>
      </c>
      <c r="D13" s="15">
        <f>D12/1000</f>
        <v>1216</v>
      </c>
      <c r="E13" s="3" t="s">
        <v>57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
  <sheetViews>
    <sheetView zoomScaleNormal="100" workbookViewId="0">
      <pane ySplit="3" topLeftCell="A4" activePane="bottomLeft" state="frozen"/>
      <selection pane="bottomLeft" activeCell="C11" sqref="C11"/>
    </sheetView>
  </sheetViews>
  <sheetFormatPr baseColWidth="10" defaultColWidth="8.6640625" defaultRowHeight="15" x14ac:dyDescent="0.2"/>
  <cols>
    <col min="1" max="1" width="8" customWidth="1"/>
    <col min="2" max="2" width="17" customWidth="1"/>
    <col min="3" max="3" width="13" customWidth="1"/>
    <col min="4" max="4" width="15" customWidth="1"/>
    <col min="5" max="5" width="16" customWidth="1"/>
    <col min="6" max="6" width="15.83203125" customWidth="1"/>
    <col min="7" max="7" width="12" customWidth="1"/>
    <col min="8" max="8" width="16" customWidth="1"/>
    <col min="9" max="9" width="18" customWidth="1"/>
    <col min="10" max="10" width="19" customWidth="1"/>
    <col min="11" max="11" width="17" customWidth="1"/>
    <col min="12" max="12" width="18" customWidth="1"/>
    <col min="13" max="13" width="16" customWidth="1"/>
    <col min="14" max="18" width="16.6640625" customWidth="1"/>
  </cols>
  <sheetData>
    <row r="1" spans="1:18" ht="18" x14ac:dyDescent="0.2">
      <c r="A1" s="2" t="s">
        <v>58</v>
      </c>
    </row>
    <row r="2" spans="1:18" x14ac:dyDescent="0.2">
      <c r="A2" s="3" t="s">
        <v>139</v>
      </c>
    </row>
    <row r="3" spans="1:18" ht="56" x14ac:dyDescent="0.2">
      <c r="A3" s="1" t="s">
        <v>59</v>
      </c>
      <c r="B3" s="1" t="s">
        <v>60</v>
      </c>
      <c r="C3" s="1" t="s">
        <v>61</v>
      </c>
      <c r="D3" s="1" t="s">
        <v>62</v>
      </c>
      <c r="E3" s="1" t="s">
        <v>63</v>
      </c>
      <c r="F3" s="35" t="s">
        <v>136</v>
      </c>
      <c r="G3" s="1" t="s">
        <v>64</v>
      </c>
      <c r="H3" s="1" t="s">
        <v>65</v>
      </c>
      <c r="I3" s="1" t="s">
        <v>66</v>
      </c>
      <c r="J3" s="1" t="s">
        <v>67</v>
      </c>
      <c r="K3" s="1" t="s">
        <v>220</v>
      </c>
      <c r="L3" s="1" t="s">
        <v>68</v>
      </c>
      <c r="M3" s="1" t="s">
        <v>69</v>
      </c>
      <c r="N3" s="1" t="s">
        <v>215</v>
      </c>
      <c r="O3" s="1" t="s">
        <v>216</v>
      </c>
      <c r="P3" s="1" t="s">
        <v>217</v>
      </c>
      <c r="Q3" s="71" t="s">
        <v>218</v>
      </c>
      <c r="R3" s="1" t="s">
        <v>219</v>
      </c>
    </row>
    <row r="4" spans="1:18" x14ac:dyDescent="0.2">
      <c r="A4" s="18" t="s">
        <v>70</v>
      </c>
      <c r="B4" s="19">
        <v>46235</v>
      </c>
      <c r="C4" s="11">
        <v>4</v>
      </c>
      <c r="D4" s="13">
        <f>IF(Paramètres!$B$6=0,0,ROUND(C4*1000/Paramètres!$B$6,0))</f>
        <v>10000</v>
      </c>
      <c r="E4" s="33">
        <f>ROUNDUP(D4*(1+Paramètres!$B$11),0)</f>
        <v>11000</v>
      </c>
      <c r="F4" s="32" t="s">
        <v>137</v>
      </c>
      <c r="G4" s="34">
        <f>INDEX(Paramètres!$C$16:$C$19,MATCH(C4,Paramètres!$B$16:$B$19,1))</f>
        <v>0</v>
      </c>
      <c r="H4" s="13">
        <f>IF($F4="NON",0,E4*Paramètres!$B$12*(1-G4))</f>
        <v>0</v>
      </c>
      <c r="I4" s="13">
        <f>'Aliment par vague'!$L4</f>
        <v>4864000</v>
      </c>
      <c r="J4" s="13">
        <f t="shared" ref="J4:J22" si="0">H4+I4</f>
        <v>4864000</v>
      </c>
      <c r="K4" s="13">
        <f t="shared" ref="K4:K23" si="1">IF(C4=0,0,J4/(C4*1000))</f>
        <v>1216</v>
      </c>
      <c r="L4" s="13">
        <f>C4*1000*Paramètres!$B$5</f>
        <v>7600000</v>
      </c>
      <c r="M4" s="13">
        <f t="shared" ref="M4:M22" si="2">L4-J4</f>
        <v>2736000</v>
      </c>
      <c r="N4" s="56">
        <f>SUMIFS(Journal[Montant],Journal[Vague],$A4,Journal[Catégorie],"Opérationnel")</f>
        <v>0</v>
      </c>
      <c r="O4" s="56">
        <f>'Aliment par vague'!$W4</f>
        <v>2252740.1415571286</v>
      </c>
      <c r="P4" s="56">
        <f>J4+N4+O4</f>
        <v>7116740.1415571291</v>
      </c>
      <c r="Q4" s="72">
        <f>IF(C4=0,0,P4/(C4*1000))</f>
        <v>1779.1850353892823</v>
      </c>
      <c r="R4" s="56">
        <f>L4-P4</f>
        <v>483259.8584428709</v>
      </c>
    </row>
    <row r="5" spans="1:18" x14ac:dyDescent="0.2">
      <c r="A5" s="18" t="s">
        <v>71</v>
      </c>
      <c r="B5" s="19">
        <v>46266</v>
      </c>
      <c r="C5" s="11">
        <v>4</v>
      </c>
      <c r="D5" s="13">
        <f>IF(Paramètres!$B$6=0,0,ROUND(C5*1000/Paramètres!$B$6,0))</f>
        <v>10000</v>
      </c>
      <c r="E5" s="33">
        <f>ROUNDUP(D5*(1+Paramètres!$B$11),0)</f>
        <v>11000</v>
      </c>
      <c r="F5" s="32" t="s">
        <v>137</v>
      </c>
      <c r="G5" s="34">
        <f>INDEX(Paramètres!$C$16:$C$19,MATCH(C5,Paramètres!$B$16:$B$19,1))</f>
        <v>0</v>
      </c>
      <c r="H5" s="13">
        <f>IF($F5="NON",0,E5*Paramètres!$B$12*(1-G5))</f>
        <v>0</v>
      </c>
      <c r="I5" s="13">
        <f>'Aliment par vague'!$L5</f>
        <v>4864000</v>
      </c>
      <c r="J5" s="13">
        <f t="shared" si="0"/>
        <v>4864000</v>
      </c>
      <c r="K5" s="13">
        <f t="shared" si="1"/>
        <v>1216</v>
      </c>
      <c r="L5" s="13">
        <f>C5*1000*Paramètres!$B$5</f>
        <v>7600000</v>
      </c>
      <c r="M5" s="13">
        <f t="shared" si="2"/>
        <v>2736000</v>
      </c>
      <c r="N5" s="56">
        <f>SUMIFS(Journal[Montant],Journal[Vague],$A5,Journal[Catégorie],"Opérationnel")</f>
        <v>0</v>
      </c>
      <c r="O5" s="56">
        <f>'Aliment par vague'!$W5</f>
        <v>1044404.3494836646</v>
      </c>
      <c r="P5" s="56">
        <f t="shared" ref="P5:P22" si="3">J5+N5+O5</f>
        <v>5908404.3494836651</v>
      </c>
      <c r="Q5" s="72">
        <f t="shared" ref="Q5:Q22" si="4">IF(C5=0,0,P5/(C5*1000))</f>
        <v>1477.1010873709163</v>
      </c>
      <c r="R5" s="56">
        <f t="shared" ref="R5:R22" si="5">L5-P5</f>
        <v>1691595.6505163349</v>
      </c>
    </row>
    <row r="6" spans="1:18" x14ac:dyDescent="0.2">
      <c r="A6" s="18" t="s">
        <v>72</v>
      </c>
      <c r="B6" s="19">
        <v>46296</v>
      </c>
      <c r="C6" s="11">
        <v>8</v>
      </c>
      <c r="D6" s="13">
        <f>IF(Paramètres!$B$6=0,0,ROUND(C6*1000/Paramètres!$B$6,0))</f>
        <v>20000</v>
      </c>
      <c r="E6" s="33">
        <f>ROUNDUP(D6*(1+Paramètres!$B$11),0)</f>
        <v>22000</v>
      </c>
      <c r="F6" s="32" t="s">
        <v>137</v>
      </c>
      <c r="G6" s="34">
        <f>INDEX(Paramètres!$C$16:$C$19,MATCH(C6,Paramètres!$B$16:$B$19,1))</f>
        <v>0.02</v>
      </c>
      <c r="H6" s="13">
        <f>IF($F6="NON",0,E6*Paramètres!$B$12*(1-G6))</f>
        <v>0</v>
      </c>
      <c r="I6" s="13">
        <f>'Aliment par vague'!$L6</f>
        <v>9533440</v>
      </c>
      <c r="J6" s="13">
        <f t="shared" si="0"/>
        <v>9533440</v>
      </c>
      <c r="K6" s="13">
        <f t="shared" si="1"/>
        <v>1191.68</v>
      </c>
      <c r="L6" s="13">
        <f>C6*1000*Paramètres!$B$5</f>
        <v>15200000</v>
      </c>
      <c r="M6" s="13">
        <f t="shared" si="2"/>
        <v>5666560</v>
      </c>
      <c r="N6" s="56">
        <f>SUMIFS(Journal[Montant],Journal[Vague],$A6,Journal[Catégorie],"Opérationnel")</f>
        <v>0</v>
      </c>
      <c r="O6" s="56">
        <f>'Aliment par vague'!$W6</f>
        <v>1535771.8710767804</v>
      </c>
      <c r="P6" s="56">
        <f t="shared" si="3"/>
        <v>11069211.871076781</v>
      </c>
      <c r="Q6" s="72">
        <f t="shared" si="4"/>
        <v>1383.6514838845976</v>
      </c>
      <c r="R6" s="56">
        <f t="shared" si="5"/>
        <v>4130788.1289232187</v>
      </c>
    </row>
    <row r="7" spans="1:18" x14ac:dyDescent="0.2">
      <c r="A7" s="18" t="s">
        <v>73</v>
      </c>
      <c r="B7" s="19">
        <v>46327</v>
      </c>
      <c r="C7" s="11">
        <v>8</v>
      </c>
      <c r="D7" s="13">
        <f>IF(Paramètres!$B$6=0,0,ROUND(C7*1000/Paramètres!$B$6,0))</f>
        <v>20000</v>
      </c>
      <c r="E7" s="33">
        <f>ROUNDUP(D7*(1+Paramètres!$B$11),0)</f>
        <v>22000</v>
      </c>
      <c r="F7" s="32" t="s">
        <v>137</v>
      </c>
      <c r="G7" s="34">
        <f>INDEX(Paramètres!$C$16:$C$19,MATCH(C7,Paramètres!$B$16:$B$19,1))</f>
        <v>0.02</v>
      </c>
      <c r="H7" s="13">
        <f>IF($F7="NON",0,E7*Paramètres!$B$12*(1-G7))</f>
        <v>0</v>
      </c>
      <c r="I7" s="13">
        <f>'Aliment par vague'!$L7</f>
        <v>9533440</v>
      </c>
      <c r="J7" s="13">
        <f t="shared" si="0"/>
        <v>9533440</v>
      </c>
      <c r="K7" s="13">
        <f t="shared" si="1"/>
        <v>1191.68</v>
      </c>
      <c r="L7" s="13">
        <f>C7*1000*Paramètres!$B$5</f>
        <v>15200000</v>
      </c>
      <c r="M7" s="13">
        <f t="shared" si="2"/>
        <v>5666560</v>
      </c>
      <c r="N7" s="56">
        <f>SUMIFS(Journal[Montant],Journal[Vague],$A7,Journal[Catégorie],"Opérationnel")</f>
        <v>0</v>
      </c>
      <c r="O7" s="56">
        <f>'Aliment par vague'!$W7</f>
        <v>1287985.973338902</v>
      </c>
      <c r="P7" s="56">
        <f t="shared" si="3"/>
        <v>10821425.973338902</v>
      </c>
      <c r="Q7" s="72">
        <f t="shared" si="4"/>
        <v>1352.6782466673628</v>
      </c>
      <c r="R7" s="56">
        <f t="shared" si="5"/>
        <v>4378574.026661098</v>
      </c>
    </row>
    <row r="8" spans="1:18" x14ac:dyDescent="0.2">
      <c r="A8" s="18" t="s">
        <v>74</v>
      </c>
      <c r="B8" s="19">
        <v>46357</v>
      </c>
      <c r="C8" s="11">
        <v>10</v>
      </c>
      <c r="D8" s="13">
        <f>IF(Paramètres!$B$6=0,0,ROUND(C8*1000/Paramètres!$B$6,0))</f>
        <v>25000</v>
      </c>
      <c r="E8" s="33">
        <f>ROUNDUP(D8*(1+Paramètres!$B$11),0)</f>
        <v>27500</v>
      </c>
      <c r="F8" s="32" t="s">
        <v>137</v>
      </c>
      <c r="G8" s="34">
        <f>INDEX(Paramètres!$C$16:$C$19,MATCH(C8,Paramètres!$B$16:$B$19,1))</f>
        <v>0.04</v>
      </c>
      <c r="H8" s="13">
        <f>IF($F8="NON",0,E8*Paramètres!$B$12*(1-G8))</f>
        <v>0</v>
      </c>
      <c r="I8" s="13">
        <f>'Aliment par vague'!$L8</f>
        <v>11673600</v>
      </c>
      <c r="J8" s="13">
        <f t="shared" si="0"/>
        <v>11673600</v>
      </c>
      <c r="K8" s="13">
        <f t="shared" si="1"/>
        <v>1167.3599999999999</v>
      </c>
      <c r="L8" s="13">
        <f>C8*1000*Paramètres!$B$5</f>
        <v>19000000</v>
      </c>
      <c r="M8" s="13">
        <f t="shared" si="2"/>
        <v>7326400</v>
      </c>
      <c r="N8" s="56">
        <f>SUMIFS(Journal[Montant],Journal[Vague],$A8,Journal[Catégorie],"Opérationnel")</f>
        <v>0</v>
      </c>
      <c r="O8" s="56">
        <f>'Aliment par vague'!$W8</f>
        <v>1408264.3312101911</v>
      </c>
      <c r="P8" s="56">
        <f t="shared" si="3"/>
        <v>13081864.33121019</v>
      </c>
      <c r="Q8" s="72">
        <f t="shared" si="4"/>
        <v>1308.186433121019</v>
      </c>
      <c r="R8" s="56">
        <f t="shared" si="5"/>
        <v>5918135.6687898096</v>
      </c>
    </row>
    <row r="9" spans="1:18" x14ac:dyDescent="0.2">
      <c r="A9" s="18" t="s">
        <v>75</v>
      </c>
      <c r="B9" s="19">
        <v>46388</v>
      </c>
      <c r="C9" s="11">
        <v>12</v>
      </c>
      <c r="D9" s="13">
        <f>IF(Paramètres!$B$6=0,0,ROUND(C9*1000/Paramètres!$B$6,0))</f>
        <v>30000</v>
      </c>
      <c r="E9" s="33">
        <f>ROUNDUP(D9*(1+Paramètres!$B$11),0)</f>
        <v>33000</v>
      </c>
      <c r="F9" s="32" t="s">
        <v>137</v>
      </c>
      <c r="G9" s="34">
        <f>INDEX(Paramètres!$C$16:$C$19,MATCH(C9,Paramètres!$B$16:$B$19,1))</f>
        <v>0.04</v>
      </c>
      <c r="H9" s="13">
        <f>IF($F9="NON",0,E9*Paramètres!$B$12*(1-G9))</f>
        <v>0</v>
      </c>
      <c r="I9" s="13">
        <f>'Aliment par vague'!$L9</f>
        <v>14008320</v>
      </c>
      <c r="J9" s="13">
        <f t="shared" si="0"/>
        <v>14008320</v>
      </c>
      <c r="K9" s="13">
        <f t="shared" si="1"/>
        <v>1167.3599999999999</v>
      </c>
      <c r="L9" s="13">
        <f>C9*1000*Paramètres!$B$5</f>
        <v>22800000</v>
      </c>
      <c r="M9" s="13">
        <f t="shared" si="2"/>
        <v>8791680</v>
      </c>
      <c r="N9" s="56">
        <f>SUMIFS(Journal[Montant],Journal[Vague],$A9,Journal[Catégorie],"Opérationnel")</f>
        <v>0</v>
      </c>
      <c r="O9" s="56">
        <f>'Aliment par vague'!$W9</f>
        <v>1478833.3333333333</v>
      </c>
      <c r="P9" s="56">
        <f t="shared" si="3"/>
        <v>15487153.333333334</v>
      </c>
      <c r="Q9" s="72">
        <f t="shared" si="4"/>
        <v>1290.5961111111112</v>
      </c>
      <c r="R9" s="56">
        <f t="shared" si="5"/>
        <v>7312846.666666666</v>
      </c>
    </row>
    <row r="10" spans="1:18" x14ac:dyDescent="0.2">
      <c r="A10" s="18" t="s">
        <v>76</v>
      </c>
      <c r="B10" s="19">
        <v>46419</v>
      </c>
      <c r="C10" s="11">
        <v>15</v>
      </c>
      <c r="D10" s="13">
        <f>IF(Paramètres!$B$6=0,0,ROUND(C10*1000/Paramètres!$B$6,0))</f>
        <v>37500</v>
      </c>
      <c r="E10" s="33">
        <f>ROUNDUP(D10*(1+Paramètres!$B$11),0)</f>
        <v>41250</v>
      </c>
      <c r="F10" s="32" t="s">
        <v>137</v>
      </c>
      <c r="G10" s="34">
        <f>INDEX(Paramètres!$C$16:$C$19,MATCH(C10,Paramètres!$B$16:$B$19,1))</f>
        <v>0.06</v>
      </c>
      <c r="H10" s="13">
        <f>IF($F10="NON",0,E10*Paramètres!$B$12*(1-G10))</f>
        <v>0</v>
      </c>
      <c r="I10" s="13">
        <f>'Aliment par vague'!$L10</f>
        <v>17145600</v>
      </c>
      <c r="J10" s="13">
        <f t="shared" si="0"/>
        <v>17145600</v>
      </c>
      <c r="K10" s="13">
        <f t="shared" si="1"/>
        <v>1143.04</v>
      </c>
      <c r="L10" s="13">
        <f>C10*1000*Paramètres!$B$5</f>
        <v>28500000</v>
      </c>
      <c r="M10" s="13">
        <f t="shared" si="2"/>
        <v>11354400</v>
      </c>
      <c r="N10" s="56">
        <f>SUMIFS(Journal[Montant],Journal[Vague],$A10,Journal[Catégorie],"Opérationnel")</f>
        <v>0</v>
      </c>
      <c r="O10" s="56">
        <f>'Aliment par vague'!$W10</f>
        <v>1675552.6315789474</v>
      </c>
      <c r="P10" s="56">
        <f t="shared" si="3"/>
        <v>18821152.631578948</v>
      </c>
      <c r="Q10" s="72">
        <f t="shared" si="4"/>
        <v>1254.7435087719298</v>
      </c>
      <c r="R10" s="56">
        <f t="shared" si="5"/>
        <v>9678847.3684210517</v>
      </c>
    </row>
    <row r="11" spans="1:18" x14ac:dyDescent="0.2">
      <c r="A11" s="18" t="s">
        <v>77</v>
      </c>
      <c r="B11" s="19">
        <v>46447</v>
      </c>
      <c r="C11" s="11">
        <v>15</v>
      </c>
      <c r="D11" s="13">
        <f>IF(Paramètres!$B$6=0,0,ROUND(C11*1000/Paramètres!$B$6,0))</f>
        <v>37500</v>
      </c>
      <c r="E11" s="33">
        <f>ROUNDUP(D11*(1+Paramètres!$B$11),0)</f>
        <v>41250</v>
      </c>
      <c r="F11" s="32" t="s">
        <v>137</v>
      </c>
      <c r="G11" s="34">
        <f>INDEX(Paramètres!$C$16:$C$19,MATCH(C11,Paramètres!$B$16:$B$19,1))</f>
        <v>0.06</v>
      </c>
      <c r="H11" s="13">
        <f>IF($F11="NON",0,E11*Paramètres!$B$12*(1-G11))</f>
        <v>0</v>
      </c>
      <c r="I11" s="13">
        <f>'Aliment par vague'!$L11</f>
        <v>17145600</v>
      </c>
      <c r="J11" s="13">
        <f t="shared" si="0"/>
        <v>17145600</v>
      </c>
      <c r="K11" s="13">
        <f t="shared" si="1"/>
        <v>1143.04</v>
      </c>
      <c r="L11" s="13">
        <f>C11*1000*Paramètres!$B$5</f>
        <v>28500000</v>
      </c>
      <c r="M11" s="13">
        <f t="shared" si="2"/>
        <v>11354400</v>
      </c>
      <c r="N11" s="56">
        <f>SUMIFS(Journal[Montant],Journal[Vague],$A11,Journal[Catégorie],"Opérationnel")</f>
        <v>0</v>
      </c>
      <c r="O11" s="56">
        <f>'Aliment par vague'!$W11</f>
        <v>1613815.7894736843</v>
      </c>
      <c r="P11" s="56">
        <f t="shared" si="3"/>
        <v>18759415.789473683</v>
      </c>
      <c r="Q11" s="72">
        <f t="shared" si="4"/>
        <v>1250.6277192982454</v>
      </c>
      <c r="R11" s="56">
        <f t="shared" si="5"/>
        <v>9740584.2105263174</v>
      </c>
    </row>
    <row r="12" spans="1:18" x14ac:dyDescent="0.2">
      <c r="A12" s="18" t="s">
        <v>78</v>
      </c>
      <c r="B12" s="19">
        <v>46478</v>
      </c>
      <c r="C12" s="11">
        <v>15</v>
      </c>
      <c r="D12" s="13">
        <f>IF(Paramètres!$B$6=0,0,ROUND(C12*1000/Paramètres!$B$6,0))</f>
        <v>37500</v>
      </c>
      <c r="E12" s="33">
        <f>ROUNDUP(D12*(1+Paramètres!$B$11),0)</f>
        <v>41250</v>
      </c>
      <c r="F12" s="32" t="s">
        <v>137</v>
      </c>
      <c r="G12" s="34">
        <f>INDEX(Paramètres!$C$16:$C$19,MATCH(C12,Paramètres!$B$16:$B$19,1))</f>
        <v>0.06</v>
      </c>
      <c r="H12" s="13">
        <f>IF($F12="NON",0,E12*Paramètres!$B$12*(1-G12))</f>
        <v>0</v>
      </c>
      <c r="I12" s="13">
        <f>'Aliment par vague'!$L12</f>
        <v>17145600</v>
      </c>
      <c r="J12" s="13">
        <f t="shared" si="0"/>
        <v>17145600</v>
      </c>
      <c r="K12" s="13">
        <f t="shared" si="1"/>
        <v>1143.04</v>
      </c>
      <c r="L12" s="13">
        <f>C12*1000*Paramètres!$B$5</f>
        <v>28500000</v>
      </c>
      <c r="M12" s="13">
        <f t="shared" si="2"/>
        <v>11354400</v>
      </c>
      <c r="N12" s="56">
        <f>SUMIFS(Journal[Montant],Journal[Vague],$A12,Journal[Catégorie],"Opérationnel")</f>
        <v>0</v>
      </c>
      <c r="O12" s="56">
        <f>'Aliment par vague'!$W12</f>
        <v>1605000</v>
      </c>
      <c r="P12" s="56">
        <f t="shared" si="3"/>
        <v>18750600</v>
      </c>
      <c r="Q12" s="72">
        <f t="shared" si="4"/>
        <v>1250.04</v>
      </c>
      <c r="R12" s="56">
        <f t="shared" si="5"/>
        <v>9749400</v>
      </c>
    </row>
    <row r="13" spans="1:18" x14ac:dyDescent="0.2">
      <c r="A13" s="18" t="s">
        <v>79</v>
      </c>
      <c r="B13" s="19">
        <v>46508</v>
      </c>
      <c r="C13" s="11">
        <v>15</v>
      </c>
      <c r="D13" s="13">
        <f>IF(Paramètres!$B$6=0,0,ROUND(C13*1000/Paramètres!$B$6,0))</f>
        <v>37500</v>
      </c>
      <c r="E13" s="33">
        <f>ROUNDUP(D13*(1+Paramètres!$B$11),0)</f>
        <v>41250</v>
      </c>
      <c r="F13" s="32" t="s">
        <v>137</v>
      </c>
      <c r="G13" s="34">
        <f>INDEX(Paramètres!$C$16:$C$19,MATCH(C13,Paramètres!$B$16:$B$19,1))</f>
        <v>0.06</v>
      </c>
      <c r="H13" s="13">
        <f>IF($F13="NON",0,E13*Paramètres!$B$12*(1-G13))</f>
        <v>0</v>
      </c>
      <c r="I13" s="13">
        <f>'Aliment par vague'!$L13</f>
        <v>17145600</v>
      </c>
      <c r="J13" s="13">
        <f t="shared" si="0"/>
        <v>17145600</v>
      </c>
      <c r="K13" s="13">
        <f t="shared" si="1"/>
        <v>1143.04</v>
      </c>
      <c r="L13" s="13">
        <f>C13*1000*Paramètres!$B$5</f>
        <v>28500000</v>
      </c>
      <c r="M13" s="13">
        <f t="shared" si="2"/>
        <v>11354400</v>
      </c>
      <c r="N13" s="56">
        <f>SUMIFS(Journal[Montant],Journal[Vague],$A13,Journal[Catégorie],"Opérationnel")</f>
        <v>0</v>
      </c>
      <c r="O13" s="56">
        <f>'Aliment par vague'!$W13</f>
        <v>1605000</v>
      </c>
      <c r="P13" s="56">
        <f t="shared" si="3"/>
        <v>18750600</v>
      </c>
      <c r="Q13" s="72">
        <f t="shared" si="4"/>
        <v>1250.04</v>
      </c>
      <c r="R13" s="56">
        <f t="shared" si="5"/>
        <v>9749400</v>
      </c>
    </row>
    <row r="14" spans="1:18" x14ac:dyDescent="0.2">
      <c r="A14" s="18" t="s">
        <v>80</v>
      </c>
      <c r="B14" s="19">
        <v>46539</v>
      </c>
      <c r="C14" s="11">
        <v>15</v>
      </c>
      <c r="D14" s="13">
        <f>IF(Paramètres!$B$6=0,0,ROUND(C14*1000/Paramètres!$B$6,0))</f>
        <v>37500</v>
      </c>
      <c r="E14" s="33">
        <f>ROUNDUP(D14*(1+Paramètres!$B$11),0)</f>
        <v>41250</v>
      </c>
      <c r="F14" s="32" t="s">
        <v>137</v>
      </c>
      <c r="G14" s="34">
        <f>INDEX(Paramètres!$C$16:$C$19,MATCH(C14,Paramètres!$B$16:$B$19,1))</f>
        <v>0.06</v>
      </c>
      <c r="H14" s="13">
        <f>IF($F14="NON",0,E14*Paramètres!$B$12*(1-G14))</f>
        <v>0</v>
      </c>
      <c r="I14" s="13">
        <f>'Aliment par vague'!$L14</f>
        <v>17145600</v>
      </c>
      <c r="J14" s="13">
        <f t="shared" si="0"/>
        <v>17145600</v>
      </c>
      <c r="K14" s="13">
        <f t="shared" si="1"/>
        <v>1143.04</v>
      </c>
      <c r="L14" s="13">
        <f>C14*1000*Paramètres!$B$5</f>
        <v>28500000</v>
      </c>
      <c r="M14" s="13">
        <f t="shared" si="2"/>
        <v>11354400</v>
      </c>
      <c r="N14" s="56">
        <f>SUMIFS(Journal[Montant],Journal[Vague],$A14,Journal[Catégorie],"Opérationnel")</f>
        <v>0</v>
      </c>
      <c r="O14" s="56">
        <f>'Aliment par vague'!$W14</f>
        <v>1605000</v>
      </c>
      <c r="P14" s="56">
        <f t="shared" si="3"/>
        <v>18750600</v>
      </c>
      <c r="Q14" s="72">
        <f t="shared" si="4"/>
        <v>1250.04</v>
      </c>
      <c r="R14" s="56">
        <f t="shared" si="5"/>
        <v>9749400</v>
      </c>
    </row>
    <row r="15" spans="1:18" x14ac:dyDescent="0.2">
      <c r="A15" s="18" t="s">
        <v>81</v>
      </c>
      <c r="B15" s="19">
        <v>46569</v>
      </c>
      <c r="C15" s="11">
        <v>15</v>
      </c>
      <c r="D15" s="13">
        <f>IF(Paramètres!$B$6=0,0,ROUND(C15*1000/Paramètres!$B$6,0))</f>
        <v>37500</v>
      </c>
      <c r="E15" s="33">
        <f>ROUNDUP(D15*(1+Paramètres!$B$11),0)</f>
        <v>41250</v>
      </c>
      <c r="F15" s="32" t="s">
        <v>137</v>
      </c>
      <c r="G15" s="34">
        <f>INDEX(Paramètres!$C$16:$C$19,MATCH(C15,Paramètres!$B$16:$B$19,1))</f>
        <v>0.06</v>
      </c>
      <c r="H15" s="13">
        <f>IF($F15="NON",0,E15*Paramètres!$B$12*(1-G15))</f>
        <v>0</v>
      </c>
      <c r="I15" s="13">
        <f>'Aliment par vague'!$L15</f>
        <v>17145600</v>
      </c>
      <c r="J15" s="13">
        <f t="shared" si="0"/>
        <v>17145600</v>
      </c>
      <c r="K15" s="13">
        <f t="shared" si="1"/>
        <v>1143.04</v>
      </c>
      <c r="L15" s="13">
        <f>C15*1000*Paramètres!$B$5</f>
        <v>28500000</v>
      </c>
      <c r="M15" s="13">
        <f t="shared" si="2"/>
        <v>11354400</v>
      </c>
      <c r="N15" s="56">
        <f>SUMIFS(Journal[Montant],Journal[Vague],$A15,Journal[Catégorie],"Opérationnel")</f>
        <v>0</v>
      </c>
      <c r="O15" s="56">
        <f>'Aliment par vague'!$W15</f>
        <v>1605000</v>
      </c>
      <c r="P15" s="56">
        <f t="shared" si="3"/>
        <v>18750600</v>
      </c>
      <c r="Q15" s="72">
        <f t="shared" si="4"/>
        <v>1250.04</v>
      </c>
      <c r="R15" s="56">
        <f t="shared" si="5"/>
        <v>9749400</v>
      </c>
    </row>
    <row r="16" spans="1:18" x14ac:dyDescent="0.2">
      <c r="A16" s="18" t="s">
        <v>82</v>
      </c>
      <c r="B16" s="19">
        <v>46600</v>
      </c>
      <c r="C16" s="11">
        <v>15</v>
      </c>
      <c r="D16" s="13">
        <f>IF(Paramètres!$B$6=0,0,ROUND(C16*1000/Paramètres!$B$6,0))</f>
        <v>37500</v>
      </c>
      <c r="E16" s="33">
        <f>ROUNDUP(D16*(1+Paramètres!$B$11),0)</f>
        <v>41250</v>
      </c>
      <c r="F16" s="32" t="s">
        <v>137</v>
      </c>
      <c r="G16" s="34">
        <f>INDEX(Paramètres!$C$16:$C$19,MATCH(C16,Paramètres!$B$16:$B$19,1))</f>
        <v>0.06</v>
      </c>
      <c r="H16" s="13">
        <f>IF($F16="NON",0,E16*Paramètres!$B$12*(1-G16))</f>
        <v>0</v>
      </c>
      <c r="I16" s="13">
        <f>'Aliment par vague'!$L16</f>
        <v>17145600</v>
      </c>
      <c r="J16" s="13">
        <f t="shared" si="0"/>
        <v>17145600</v>
      </c>
      <c r="K16" s="13">
        <f t="shared" si="1"/>
        <v>1143.04</v>
      </c>
      <c r="L16" s="13">
        <f>C16*1000*Paramètres!$B$5</f>
        <v>28500000</v>
      </c>
      <c r="M16" s="13">
        <f t="shared" si="2"/>
        <v>11354400</v>
      </c>
      <c r="N16" s="56">
        <f>SUMIFS(Journal[Montant],Journal[Vague],$A16,Journal[Catégorie],"Opérationnel")</f>
        <v>0</v>
      </c>
      <c r="O16" s="56">
        <f>'Aliment par vague'!$W16</f>
        <v>1605000</v>
      </c>
      <c r="P16" s="56">
        <f t="shared" si="3"/>
        <v>18750600</v>
      </c>
      <c r="Q16" s="72">
        <f t="shared" si="4"/>
        <v>1250.04</v>
      </c>
      <c r="R16" s="56">
        <f t="shared" si="5"/>
        <v>9749400</v>
      </c>
    </row>
    <row r="17" spans="1:18" x14ac:dyDescent="0.2">
      <c r="A17" s="18" t="s">
        <v>83</v>
      </c>
      <c r="B17" s="19">
        <v>46631</v>
      </c>
      <c r="C17" s="11">
        <v>15</v>
      </c>
      <c r="D17" s="13">
        <f>IF(Paramètres!$B$6=0,0,ROUND(C17*1000/Paramètres!$B$6,0))</f>
        <v>37500</v>
      </c>
      <c r="E17" s="33">
        <f>ROUNDUP(D17*(1+Paramètres!$B$11),0)</f>
        <v>41250</v>
      </c>
      <c r="F17" s="32" t="s">
        <v>137</v>
      </c>
      <c r="G17" s="34">
        <f>INDEX(Paramètres!$C$16:$C$19,MATCH(C17,Paramètres!$B$16:$B$19,1))</f>
        <v>0.06</v>
      </c>
      <c r="H17" s="13">
        <f>IF($F17="NON",0,E17*Paramètres!$B$12*(1-G17))</f>
        <v>0</v>
      </c>
      <c r="I17" s="13">
        <f>'Aliment par vague'!$L17</f>
        <v>17145600</v>
      </c>
      <c r="J17" s="13">
        <f t="shared" si="0"/>
        <v>17145600</v>
      </c>
      <c r="K17" s="13">
        <f t="shared" si="1"/>
        <v>1143.04</v>
      </c>
      <c r="L17" s="13">
        <f>C17*1000*Paramètres!$B$5</f>
        <v>28500000</v>
      </c>
      <c r="M17" s="13">
        <f t="shared" si="2"/>
        <v>11354400</v>
      </c>
      <c r="N17" s="56">
        <f>SUMIFS(Journal[Montant],Journal[Vague],$A17,Journal[Catégorie],"Opérationnel")</f>
        <v>0</v>
      </c>
      <c r="O17" s="56">
        <f>'Aliment par vague'!$W17</f>
        <v>1605000</v>
      </c>
      <c r="P17" s="56">
        <f t="shared" si="3"/>
        <v>18750600</v>
      </c>
      <c r="Q17" s="72">
        <f t="shared" si="4"/>
        <v>1250.04</v>
      </c>
      <c r="R17" s="56">
        <f t="shared" si="5"/>
        <v>9749400</v>
      </c>
    </row>
    <row r="18" spans="1:18" x14ac:dyDescent="0.2">
      <c r="A18" s="18" t="s">
        <v>84</v>
      </c>
      <c r="B18" s="19">
        <v>46661</v>
      </c>
      <c r="C18" s="11">
        <v>15</v>
      </c>
      <c r="D18" s="13">
        <f>IF(Paramètres!$B$6=0,0,ROUND(C18*1000/Paramètres!$B$6,0))</f>
        <v>37500</v>
      </c>
      <c r="E18" s="33">
        <f>ROUNDUP(D18*(1+Paramètres!$B$11),0)</f>
        <v>41250</v>
      </c>
      <c r="F18" s="32" t="s">
        <v>137</v>
      </c>
      <c r="G18" s="34">
        <f>INDEX(Paramètres!$C$16:$C$19,MATCH(C18,Paramètres!$B$16:$B$19,1))</f>
        <v>0.06</v>
      </c>
      <c r="H18" s="13">
        <f>IF($F18="NON",0,E18*Paramètres!$B$12*(1-G18))</f>
        <v>0</v>
      </c>
      <c r="I18" s="13">
        <f>'Aliment par vague'!$L18</f>
        <v>17145600</v>
      </c>
      <c r="J18" s="13">
        <f t="shared" si="0"/>
        <v>17145600</v>
      </c>
      <c r="K18" s="13">
        <f t="shared" si="1"/>
        <v>1143.04</v>
      </c>
      <c r="L18" s="13">
        <f>C18*1000*Paramètres!$B$5</f>
        <v>28500000</v>
      </c>
      <c r="M18" s="13">
        <f t="shared" si="2"/>
        <v>11354400</v>
      </c>
      <c r="N18" s="56">
        <f>SUMIFS(Journal[Montant],Journal[Vague],$A18,Journal[Catégorie],"Opérationnel")</f>
        <v>0</v>
      </c>
      <c r="O18" s="56">
        <f>'Aliment par vague'!$W18</f>
        <v>1605000</v>
      </c>
      <c r="P18" s="56">
        <f t="shared" si="3"/>
        <v>18750600</v>
      </c>
      <c r="Q18" s="72">
        <f t="shared" si="4"/>
        <v>1250.04</v>
      </c>
      <c r="R18" s="56">
        <f t="shared" si="5"/>
        <v>9749400</v>
      </c>
    </row>
    <row r="19" spans="1:18" x14ac:dyDescent="0.2">
      <c r="A19" s="18" t="s">
        <v>85</v>
      </c>
      <c r="B19" s="19">
        <v>46692</v>
      </c>
      <c r="C19" s="11">
        <v>15</v>
      </c>
      <c r="D19" s="13">
        <f>IF(Paramètres!$B$6=0,0,ROUND(C19*1000/Paramètres!$B$6,0))</f>
        <v>37500</v>
      </c>
      <c r="E19" s="33">
        <f>ROUNDUP(D19*(1+Paramètres!$B$11),0)</f>
        <v>41250</v>
      </c>
      <c r="F19" s="32" t="s">
        <v>137</v>
      </c>
      <c r="G19" s="34">
        <f>INDEX(Paramètres!$C$16:$C$19,MATCH(C19,Paramètres!$B$16:$B$19,1))</f>
        <v>0.06</v>
      </c>
      <c r="H19" s="13">
        <f>IF($F19="NON",0,E19*Paramètres!$B$12*(1-G19))</f>
        <v>0</v>
      </c>
      <c r="I19" s="13">
        <f>'Aliment par vague'!$L19</f>
        <v>17145600</v>
      </c>
      <c r="J19" s="13">
        <f t="shared" si="0"/>
        <v>17145600</v>
      </c>
      <c r="K19" s="13">
        <f t="shared" si="1"/>
        <v>1143.04</v>
      </c>
      <c r="L19" s="13">
        <f>C19*1000*Paramètres!$B$5</f>
        <v>28500000</v>
      </c>
      <c r="M19" s="13">
        <f t="shared" si="2"/>
        <v>11354400</v>
      </c>
      <c r="N19" s="56">
        <f>SUMIFS(Journal[Montant],Journal[Vague],$A19,Journal[Catégorie],"Opérationnel")</f>
        <v>0</v>
      </c>
      <c r="O19" s="56">
        <f>'Aliment par vague'!$W19</f>
        <v>1605000</v>
      </c>
      <c r="P19" s="56">
        <f t="shared" si="3"/>
        <v>18750600</v>
      </c>
      <c r="Q19" s="72">
        <f t="shared" si="4"/>
        <v>1250.04</v>
      </c>
      <c r="R19" s="56">
        <f t="shared" si="5"/>
        <v>9749400</v>
      </c>
    </row>
    <row r="20" spans="1:18" x14ac:dyDescent="0.2">
      <c r="A20" s="18" t="s">
        <v>86</v>
      </c>
      <c r="B20" s="19">
        <v>46722</v>
      </c>
      <c r="C20" s="11">
        <v>15</v>
      </c>
      <c r="D20" s="13">
        <f>IF(Paramètres!$B$6=0,0,ROUND(C20*1000/Paramètres!$B$6,0))</f>
        <v>37500</v>
      </c>
      <c r="E20" s="33">
        <f>ROUNDUP(D20*(1+Paramètres!$B$11),0)</f>
        <v>41250</v>
      </c>
      <c r="F20" s="32" t="s">
        <v>137</v>
      </c>
      <c r="G20" s="34">
        <f>INDEX(Paramètres!$C$16:$C$19,MATCH(C20,Paramètres!$B$16:$B$19,1))</f>
        <v>0.06</v>
      </c>
      <c r="H20" s="13">
        <f>IF($F20="NON",0,E20*Paramètres!$B$12*(1-G20))</f>
        <v>0</v>
      </c>
      <c r="I20" s="13">
        <f>'Aliment par vague'!$L20</f>
        <v>17145600</v>
      </c>
      <c r="J20" s="13">
        <f t="shared" si="0"/>
        <v>17145600</v>
      </c>
      <c r="K20" s="13">
        <f t="shared" si="1"/>
        <v>1143.04</v>
      </c>
      <c r="L20" s="13">
        <f>C20*1000*Paramètres!$B$5</f>
        <v>28500000</v>
      </c>
      <c r="M20" s="13">
        <f t="shared" si="2"/>
        <v>11354400</v>
      </c>
      <c r="N20" s="56">
        <f>SUMIFS(Journal[Montant],Journal[Vague],$A20,Journal[Catégorie],"Opérationnel")</f>
        <v>0</v>
      </c>
      <c r="O20" s="56">
        <f>'Aliment par vague'!$W20</f>
        <v>1605000</v>
      </c>
      <c r="P20" s="56">
        <f t="shared" si="3"/>
        <v>18750600</v>
      </c>
      <c r="Q20" s="72">
        <f t="shared" si="4"/>
        <v>1250.04</v>
      </c>
      <c r="R20" s="56">
        <f t="shared" si="5"/>
        <v>9749400</v>
      </c>
    </row>
    <row r="21" spans="1:18" x14ac:dyDescent="0.2">
      <c r="A21" s="18" t="s">
        <v>87</v>
      </c>
      <c r="B21" s="19">
        <v>46753</v>
      </c>
      <c r="C21" s="11">
        <v>15</v>
      </c>
      <c r="D21" s="13">
        <f>IF(Paramètres!$B$6=0,0,ROUND(C21*1000/Paramètres!$B$6,0))</f>
        <v>37500</v>
      </c>
      <c r="E21" s="33">
        <f>ROUNDUP(D21*(1+Paramètres!$B$11),0)</f>
        <v>41250</v>
      </c>
      <c r="F21" s="32" t="s">
        <v>137</v>
      </c>
      <c r="G21" s="34">
        <f>INDEX(Paramètres!$C$16:$C$19,MATCH(C21,Paramètres!$B$16:$B$19,1))</f>
        <v>0.06</v>
      </c>
      <c r="H21" s="13">
        <f>IF($F21="NON",0,E21*Paramètres!$B$12*(1-G21))</f>
        <v>0</v>
      </c>
      <c r="I21" s="13">
        <f>'Aliment par vague'!$L21</f>
        <v>17145600</v>
      </c>
      <c r="J21" s="13">
        <f t="shared" si="0"/>
        <v>17145600</v>
      </c>
      <c r="K21" s="13">
        <f t="shared" si="1"/>
        <v>1143.04</v>
      </c>
      <c r="L21" s="13">
        <f>C21*1000*Paramètres!$B$5</f>
        <v>28500000</v>
      </c>
      <c r="M21" s="13">
        <f t="shared" si="2"/>
        <v>11354400</v>
      </c>
      <c r="N21" s="56">
        <f>SUMIFS(Journal[Montant],Journal[Vague],$A21,Journal[Catégorie],"Opérationnel")</f>
        <v>0</v>
      </c>
      <c r="O21" s="56">
        <f>'Aliment par vague'!$W21</f>
        <v>1646447.3684210526</v>
      </c>
      <c r="P21" s="56">
        <f t="shared" si="3"/>
        <v>18792047.368421052</v>
      </c>
      <c r="Q21" s="72">
        <f t="shared" si="4"/>
        <v>1252.8031578947368</v>
      </c>
      <c r="R21" s="56">
        <f t="shared" si="5"/>
        <v>9707952.6315789483</v>
      </c>
    </row>
    <row r="22" spans="1:18" x14ac:dyDescent="0.2">
      <c r="A22" s="18" t="s">
        <v>88</v>
      </c>
      <c r="B22" s="19">
        <v>46784</v>
      </c>
      <c r="C22" s="11">
        <v>15</v>
      </c>
      <c r="D22" s="13">
        <f>IF(Paramètres!$B$6=0,0,ROUND(C22*1000/Paramètres!$B$6,0))</f>
        <v>37500</v>
      </c>
      <c r="E22" s="33">
        <f>ROUNDUP(D22*(1+Paramètres!$B$11),0)</f>
        <v>41250</v>
      </c>
      <c r="F22" s="32" t="s">
        <v>137</v>
      </c>
      <c r="G22" s="34">
        <f>INDEX(Paramètres!$C$16:$C$19,MATCH(C22,Paramètres!$B$16:$B$19,1))</f>
        <v>0.06</v>
      </c>
      <c r="H22" s="13">
        <f>IF($F22="NON",0,E22*Paramètres!$B$12*(1-G22))</f>
        <v>0</v>
      </c>
      <c r="I22" s="13">
        <f>'Aliment par vague'!$L22</f>
        <v>17145600</v>
      </c>
      <c r="J22" s="13">
        <f t="shared" si="0"/>
        <v>17145600</v>
      </c>
      <c r="K22" s="13">
        <f t="shared" si="1"/>
        <v>1143.04</v>
      </c>
      <c r="L22" s="13">
        <f>C22*1000*Paramètres!$B$5</f>
        <v>28500000</v>
      </c>
      <c r="M22" s="13">
        <f t="shared" si="2"/>
        <v>11354400</v>
      </c>
      <c r="N22" s="56">
        <f>SUMIFS(Journal[Montant],Journal[Vague],$A22,Journal[Catégorie],"Opérationnel")</f>
        <v>0</v>
      </c>
      <c r="O22" s="56">
        <f>'Aliment par vague'!$W22</f>
        <v>2371184.2105263155</v>
      </c>
      <c r="P22" s="56">
        <f t="shared" si="3"/>
        <v>19516784.210526317</v>
      </c>
      <c r="Q22" s="72">
        <f t="shared" si="4"/>
        <v>1301.1189473684212</v>
      </c>
      <c r="R22" s="56">
        <f t="shared" si="5"/>
        <v>8983215.7894736826</v>
      </c>
    </row>
    <row r="23" spans="1:18" x14ac:dyDescent="0.2">
      <c r="A23" s="14" t="s">
        <v>89</v>
      </c>
      <c r="C23" s="20">
        <f>SUM(C4:C22)</f>
        <v>241</v>
      </c>
      <c r="D23" s="15">
        <f>SUM(D4:D22)</f>
        <v>602500</v>
      </c>
      <c r="E23" s="15">
        <f>SUM(E4:E22)</f>
        <v>662750</v>
      </c>
      <c r="F23" s="31"/>
      <c r="H23" s="15">
        <f>SUM(H4:H22)</f>
        <v>0</v>
      </c>
      <c r="I23" s="15">
        <f>SUM(I4:I22)</f>
        <v>277369600</v>
      </c>
      <c r="J23" s="15">
        <f>SUM(J4:J22)</f>
        <v>277369600</v>
      </c>
      <c r="K23" s="15">
        <f t="shared" si="1"/>
        <v>1150.911203319502</v>
      </c>
      <c r="L23" s="15">
        <f>SUM(L4:L22)</f>
        <v>457900000</v>
      </c>
      <c r="M23" s="15">
        <f>SUM(M4:M22)</f>
        <v>180530400</v>
      </c>
      <c r="N23" s="68">
        <f>SUM(N4:N22)</f>
        <v>0</v>
      </c>
      <c r="O23" s="68">
        <f>SUM(O4:O22)</f>
        <v>30760000</v>
      </c>
      <c r="P23" s="68">
        <f>SUM(P4:P22)</f>
        <v>308129600</v>
      </c>
      <c r="Q23" s="73">
        <f>IF(C23=0,0,P23/(C23*1000))</f>
        <v>1278.5460580912863</v>
      </c>
      <c r="R23" s="68">
        <f>SUM(R4:R22)</f>
        <v>149770400</v>
      </c>
    </row>
  </sheetData>
  <dataValidations count="1">
    <dataValidation type="list" allowBlank="1" showInputMessage="1" showErrorMessage="1" errorTitle="Valeur non valide" error="Saisissez OUI ou NON." sqref="F4:F22" xr:uid="{F9C41E2B-F7A3-0647-A457-FFE585A435B5}">
      <formula1>"OUI,NON"</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3"/>
  <sheetViews>
    <sheetView zoomScaleNormal="100" workbookViewId="0">
      <pane ySplit="3" topLeftCell="A4" activePane="bottomLeft" state="frozen"/>
      <selection pane="bottomLeft" activeCell="W3" sqref="W3"/>
    </sheetView>
  </sheetViews>
  <sheetFormatPr baseColWidth="10" defaultColWidth="8.6640625" defaultRowHeight="15" x14ac:dyDescent="0.2"/>
  <cols>
    <col min="1" max="1" width="8" customWidth="1"/>
    <col min="2" max="2" width="16" customWidth="1"/>
    <col min="3" max="3" width="10" customWidth="1"/>
    <col min="4" max="9" width="12" customWidth="1"/>
    <col min="10" max="10" width="11" customWidth="1"/>
    <col min="11" max="11" width="12" customWidth="1"/>
    <col min="12" max="12" width="19" customWidth="1"/>
    <col min="14" max="16" width="13" hidden="1" customWidth="1"/>
    <col min="17" max="23" width="15.83203125" customWidth="1"/>
  </cols>
  <sheetData>
    <row r="1" spans="1:23" ht="18" x14ac:dyDescent="0.2">
      <c r="A1" s="2" t="s">
        <v>90</v>
      </c>
    </row>
    <row r="2" spans="1:23" x14ac:dyDescent="0.2">
      <c r="A2" s="3" t="s">
        <v>91</v>
      </c>
    </row>
    <row r="3" spans="1:23" ht="42" x14ac:dyDescent="0.2">
      <c r="A3" s="1" t="s">
        <v>59</v>
      </c>
      <c r="B3" s="1" t="s">
        <v>60</v>
      </c>
      <c r="C3" s="1" t="s">
        <v>92</v>
      </c>
      <c r="D3" s="1" t="str">
        <f>IF(Aliments!$A$4="","—",Aliments!$A$4&amp;" (sacs)")</f>
        <v>2 mm (sacs)</v>
      </c>
      <c r="E3" s="1" t="str">
        <f>IF(Aliments!$A$5="","—",Aliments!$A$5&amp;" (sacs)")</f>
        <v>3 mm (sacs)</v>
      </c>
      <c r="F3" s="1" t="str">
        <f>IF(Aliments!$A$6="","—",Aliments!$A$6&amp;" (sacs)")</f>
        <v>4 mm (sacs)</v>
      </c>
      <c r="G3" s="1" t="str">
        <f>IF(Aliments!$A$7="","—",Aliments!$A$7&amp;" (sacs)")</f>
        <v>—</v>
      </c>
      <c r="H3" s="1" t="str">
        <f>IF(Aliments!$A$8="","—",Aliments!$A$8&amp;" (sacs)")</f>
        <v>—</v>
      </c>
      <c r="I3" s="1" t="str">
        <f>IF(Aliments!$A$9="","—",Aliments!$A$9&amp;" (sacs)")</f>
        <v>—</v>
      </c>
      <c r="J3" s="1" t="s">
        <v>93</v>
      </c>
      <c r="K3" s="1" t="s">
        <v>94</v>
      </c>
      <c r="L3" s="1" t="s">
        <v>95</v>
      </c>
      <c r="Q3" s="41" t="s">
        <v>208</v>
      </c>
      <c r="R3" s="41" t="s">
        <v>209</v>
      </c>
      <c r="S3" s="41" t="s">
        <v>210</v>
      </c>
      <c r="T3" s="41" t="s">
        <v>211</v>
      </c>
      <c r="U3" s="41" t="s">
        <v>212</v>
      </c>
      <c r="V3" s="41" t="s">
        <v>213</v>
      </c>
      <c r="W3" s="52" t="s">
        <v>214</v>
      </c>
    </row>
    <row r="4" spans="1:23" x14ac:dyDescent="0.2">
      <c r="A4" s="21" t="str">
        <f>Empoissonnement!A4</f>
        <v>V1</v>
      </c>
      <c r="B4" s="19">
        <f>Empoissonnement!B4</f>
        <v>46235</v>
      </c>
      <c r="C4" s="22">
        <f>Empoissonnement!C4</f>
        <v>4</v>
      </c>
      <c r="D4" s="7">
        <f>ROUNDUP(Empoissonnement!C4*N(Aliments!$J$4),0)</f>
        <v>32</v>
      </c>
      <c r="E4" s="7">
        <f>ROUNDUP(Empoissonnement!C4*N(Aliments!$J$5),0)</f>
        <v>72</v>
      </c>
      <c r="F4" s="7">
        <f>ROUNDUP(Empoissonnement!C4*N(Aliments!$J$6),0)</f>
        <v>200</v>
      </c>
      <c r="G4" s="7">
        <f>ROUNDUP(Empoissonnement!C4*N(Aliments!$J$7),0)</f>
        <v>0</v>
      </c>
      <c r="H4" s="7">
        <f>ROUNDUP(Empoissonnement!C4*N(Aliments!$J$8),0)</f>
        <v>0</v>
      </c>
      <c r="I4" s="7">
        <f>ROUNDUP(Empoissonnement!C4*N(Aliments!$J$9),0)</f>
        <v>0</v>
      </c>
      <c r="J4" s="15">
        <f t="shared" ref="J4:J22" si="0">SUM(D4:I4)</f>
        <v>304</v>
      </c>
      <c r="K4" s="15">
        <f>D4*N(Aliments!$C$4)+E4*N(Aliments!$C$5)+F4*N(Aliments!$C$6)+G4*N(Aliments!$C$7)+H4*N(Aliments!$C$8)+I4*N(Aliments!$C$9)</f>
        <v>4560</v>
      </c>
      <c r="L4" s="15">
        <f>(D4*N(Aliments!$D$4)+E4*N(Aliments!$D$5)+F4*N(Aliments!$D$6)+G4*N(Aliments!$D$7)+H4*N(Aliments!$D$8)+I4*N(Aliments!$D$9))*(1-Empoissonnement!$G4)</f>
        <v>4864000</v>
      </c>
      <c r="N4" s="13">
        <f>(D4*N(Aliments!$D$4)*N(Aliments!$F$4)+E4*N(Aliments!$D$5)*N(Aliments!$F$5)+F4*N(Aliments!$D$6)*N(Aliments!$F$6)+G4*N(Aliments!$D$7)*N(Aliments!$F$7)+H4*N(Aliments!$D$8)*N(Aliments!$F$8)+I4*N(Aliments!$D$9)*N(Aliments!$F$9))*(1-Empoissonnement!$G4)</f>
        <v>698400</v>
      </c>
      <c r="O4" s="13">
        <f>(D4*N(Aliments!$D$4)*N(Aliments!$G$4)+E4*N(Aliments!$D$5)*N(Aliments!$G$5)+F4*N(Aliments!$D$6)*N(Aliments!$G$6)+G4*N(Aliments!$D$7)*N(Aliments!$G$7)+H4*N(Aliments!$D$8)*N(Aliments!$G$8)+I4*N(Aliments!$D$9)*N(Aliments!$G$9))*(1-Empoissonnement!$G4)</f>
        <v>2305600</v>
      </c>
      <c r="P4" s="13">
        <f>(D4*N(Aliments!$D$4)*N(Aliments!$H$4)+E4*N(Aliments!$D$5)*N(Aliments!$H$5)+F4*N(Aliments!$D$6)*N(Aliments!$H$6)+G4*N(Aliments!$D$7)*N(Aliments!$H$7)+H4*N(Aliments!$D$8)*N(Aliments!$H$8)+I4*N(Aliments!$D$9)*N(Aliments!$H$9))*(1-Empoissonnement!$G4)</f>
        <v>1860000</v>
      </c>
      <c r="Q4" s="56">
        <f>D4*N(Aliments!$C$4)*N(Aliments!$F$4)+E4*N(Aliments!$C$5)*N(Aliments!$F$5)+F4*N(Aliments!$C$6)*N(Aliments!$F$6)+G4*N(Aliments!$C$7)*N(Aliments!$F$7)+H4*N(Aliments!$C$8)*N(Aliments!$F$8)+I4*N(Aliments!$C$9)*N(Aliments!$F$9)</f>
        <v>600</v>
      </c>
      <c r="R4" s="56">
        <f>D4*N(Aliments!$C$4)*N(Aliments!$G$4)+E4*N(Aliments!$C$5)*N(Aliments!$G$5)+F4*N(Aliments!$C$6)*N(Aliments!$G$6)+G4*N(Aliments!$C$7)*N(Aliments!$G$7)+H4*N(Aliments!$C$8)*N(Aliments!$G$8)+I4*N(Aliments!$C$9)*N(Aliments!$G$9)</f>
        <v>2160</v>
      </c>
      <c r="S4" s="56">
        <f>D4*N(Aliments!$C$4)*N(Aliments!$H$4)+E4*N(Aliments!$C$5)*N(Aliments!$H$5)+F4*N(Aliments!$C$6)*N(Aliments!$H$6)+G4*N(Aliments!$C$7)*N(Aliments!$H$7)+H4*N(Aliments!$C$8)*N(Aliments!$H$8)+I4*N(Aliments!$C$9)*N(Aliments!$H$9)</f>
        <v>1800</v>
      </c>
      <c r="T4" s="56">
        <f>IFERROR(Q4/INDEX('Besoins aliments'!$H$5:$H$25,MATCH(Empoissonnement!$B4,'Besoins aliments'!$A$5:$A$25,0))*INDEX(Dépenses!$B$31:$V$31,MATCH(Empoissonnement!$B4,Dépenses!$B$3:$V$3,0)),0)</f>
        <v>995000</v>
      </c>
      <c r="U4" s="56">
        <f>IFERROR(R4/INDEX('Besoins aliments'!$H$5:$H$25,MATCH(EDATE(Empoissonnement!$B4,1),'Besoins aliments'!$A$5:$A$25,0))*INDEX(Dépenses!$B$31:$V$31,MATCH(EDATE(Empoissonnement!$B4,1),Dépenses!$B$3:$V$3,0)),0)</f>
        <v>837391.30434782617</v>
      </c>
      <c r="V4" s="56">
        <f>IFERROR(S4/INDEX('Besoins aliments'!$H$5:$H$25,MATCH(EDATE(Empoissonnement!$B4,2),'Besoins aliments'!$A$5:$A$25,0))*INDEX(Dépenses!$B$31:$V$31,MATCH(EDATE(Empoissonnement!$B4,2),Dépenses!$B$3:$V$3,0)),0)</f>
        <v>420348.83720930235</v>
      </c>
      <c r="W4" s="56">
        <f>T4+U4+V4</f>
        <v>2252740.1415571286</v>
      </c>
    </row>
    <row r="5" spans="1:23" x14ac:dyDescent="0.2">
      <c r="A5" s="21" t="str">
        <f>Empoissonnement!A5</f>
        <v>V2</v>
      </c>
      <c r="B5" s="19">
        <f>Empoissonnement!B5</f>
        <v>46266</v>
      </c>
      <c r="C5" s="22">
        <f>Empoissonnement!C5</f>
        <v>4</v>
      </c>
      <c r="D5" s="7">
        <f>ROUNDUP(Empoissonnement!C5*N(Aliments!$J$4),0)</f>
        <v>32</v>
      </c>
      <c r="E5" s="7">
        <f>ROUNDUP(Empoissonnement!C5*N(Aliments!$J$5),0)</f>
        <v>72</v>
      </c>
      <c r="F5" s="7">
        <f>ROUNDUP(Empoissonnement!C5*N(Aliments!$J$6),0)</f>
        <v>200</v>
      </c>
      <c r="G5" s="7">
        <f>ROUNDUP(Empoissonnement!C5*N(Aliments!$J$7),0)</f>
        <v>0</v>
      </c>
      <c r="H5" s="7">
        <f>ROUNDUP(Empoissonnement!C5*N(Aliments!$J$8),0)</f>
        <v>0</v>
      </c>
      <c r="I5" s="7">
        <f>ROUNDUP(Empoissonnement!C5*N(Aliments!$J$9),0)</f>
        <v>0</v>
      </c>
      <c r="J5" s="15">
        <f t="shared" si="0"/>
        <v>304</v>
      </c>
      <c r="K5" s="15">
        <f>D5*N(Aliments!$C$4)+E5*N(Aliments!$C$5)+F5*N(Aliments!$C$6)+G5*N(Aliments!$C$7)+H5*N(Aliments!$C$8)+I5*N(Aliments!$C$9)</f>
        <v>4560</v>
      </c>
      <c r="L5" s="15">
        <f>(D5*N(Aliments!$D$4)+E5*N(Aliments!$D$5)+F5*N(Aliments!$D$6)+G5*N(Aliments!$D$7)+H5*N(Aliments!$D$8)+I5*N(Aliments!$D$9))*(1-Empoissonnement!$G5)</f>
        <v>4864000</v>
      </c>
      <c r="N5" s="13">
        <f>(D5*N(Aliments!$D$4)*N(Aliments!$F$4)+E5*N(Aliments!$D$5)*N(Aliments!$F$5)+F5*N(Aliments!$D$6)*N(Aliments!$F$6)+G5*N(Aliments!$D$7)*N(Aliments!$F$7)+H5*N(Aliments!$D$8)*N(Aliments!$F$8)+I5*N(Aliments!$D$9)*N(Aliments!$F$9))*(1-Empoissonnement!$G5)</f>
        <v>698400</v>
      </c>
      <c r="O5" s="13">
        <f>(D5*N(Aliments!$D$4)*N(Aliments!$G$4)+E5*N(Aliments!$D$5)*N(Aliments!$G$5)+F5*N(Aliments!$D$6)*N(Aliments!$G$6)+G5*N(Aliments!$D$7)*N(Aliments!$G$7)+H5*N(Aliments!$D$8)*N(Aliments!$G$8)+I5*N(Aliments!$D$9)*N(Aliments!$G$9))*(1-Empoissonnement!$G5)</f>
        <v>2305600</v>
      </c>
      <c r="P5" s="13">
        <f>(D5*N(Aliments!$D$4)*N(Aliments!$H$4)+E5*N(Aliments!$D$5)*N(Aliments!$H$5)+F5*N(Aliments!$D$6)*N(Aliments!$H$6)+G5*N(Aliments!$D$7)*N(Aliments!$H$7)+H5*N(Aliments!$D$8)*N(Aliments!$H$8)+I5*N(Aliments!$D$9)*N(Aliments!$H$9))*(1-Empoissonnement!$G5)</f>
        <v>1860000</v>
      </c>
      <c r="Q5" s="56">
        <f>D5*N(Aliments!$C$4)*N(Aliments!$F$4)+E5*N(Aliments!$C$5)*N(Aliments!$F$5)+F5*N(Aliments!$C$6)*N(Aliments!$F$6)+G5*N(Aliments!$C$7)*N(Aliments!$F$7)+H5*N(Aliments!$C$8)*N(Aliments!$F$8)+I5*N(Aliments!$C$9)*N(Aliments!$F$9)</f>
        <v>600</v>
      </c>
      <c r="R5" s="56">
        <f>D5*N(Aliments!$C$4)*N(Aliments!$G$4)+E5*N(Aliments!$C$5)*N(Aliments!$G$5)+F5*N(Aliments!$C$6)*N(Aliments!$G$6)+G5*N(Aliments!$C$7)*N(Aliments!$G$7)+H5*N(Aliments!$C$8)*N(Aliments!$G$8)+I5*N(Aliments!$C$9)*N(Aliments!$G$9)</f>
        <v>2160</v>
      </c>
      <c r="S5" s="56">
        <f>D5*N(Aliments!$C$4)*N(Aliments!$H$4)+E5*N(Aliments!$C$5)*N(Aliments!$H$5)+F5*N(Aliments!$C$6)*N(Aliments!$H$6)+G5*N(Aliments!$C$7)*N(Aliments!$H$7)+H5*N(Aliments!$C$8)*N(Aliments!$H$8)+I5*N(Aliments!$C$9)*N(Aliments!$H$9)</f>
        <v>1800</v>
      </c>
      <c r="T5" s="56">
        <f>IFERROR(Q5/INDEX('Besoins aliments'!$H$5:$H$25,MATCH(Empoissonnement!$B5,'Besoins aliments'!$A$5:$A$25,0))*INDEX(Dépenses!$B$31:$V$31,MATCH(Empoissonnement!$B5,Dépenses!$B$3:$V$3,0)),0)</f>
        <v>232608.69565217392</v>
      </c>
      <c r="U5" s="56">
        <f>IFERROR(R5/INDEX('Besoins aliments'!$H$5:$H$25,MATCH(EDATE(Empoissonnement!$B5,1),'Besoins aliments'!$A$5:$A$25,0))*INDEX(Dépenses!$B$31:$V$31,MATCH(EDATE(Empoissonnement!$B5,1),Dépenses!$B$3:$V$3,0)),0)</f>
        <v>504418.60465116281</v>
      </c>
      <c r="V5" s="56">
        <f>IFERROR(S5/INDEX('Besoins aliments'!$H$5:$H$25,MATCH(EDATE(Empoissonnement!$B5,2),'Besoins aliments'!$A$5:$A$25,0))*INDEX(Dépenses!$B$31:$V$31,MATCH(EDATE(Empoissonnement!$B5,2),Dépenses!$B$3:$V$3,0)),0)</f>
        <v>307377.04918032786</v>
      </c>
      <c r="W5" s="56">
        <f t="shared" ref="W5:W22" si="1">T5+U5+V5</f>
        <v>1044404.3494836646</v>
      </c>
    </row>
    <row r="6" spans="1:23" x14ac:dyDescent="0.2">
      <c r="A6" s="21" t="str">
        <f>Empoissonnement!A6</f>
        <v>V3</v>
      </c>
      <c r="B6" s="19">
        <f>Empoissonnement!B6</f>
        <v>46296</v>
      </c>
      <c r="C6" s="22">
        <f>Empoissonnement!C6</f>
        <v>8</v>
      </c>
      <c r="D6" s="7">
        <f>ROUNDUP(Empoissonnement!C6*N(Aliments!$J$4),0)</f>
        <v>64</v>
      </c>
      <c r="E6" s="7">
        <f>ROUNDUP(Empoissonnement!C6*N(Aliments!$J$5),0)</f>
        <v>144</v>
      </c>
      <c r="F6" s="7">
        <f>ROUNDUP(Empoissonnement!C6*N(Aliments!$J$6),0)</f>
        <v>400</v>
      </c>
      <c r="G6" s="7">
        <f>ROUNDUP(Empoissonnement!C6*N(Aliments!$J$7),0)</f>
        <v>0</v>
      </c>
      <c r="H6" s="7">
        <f>ROUNDUP(Empoissonnement!C6*N(Aliments!$J$8),0)</f>
        <v>0</v>
      </c>
      <c r="I6" s="7">
        <f>ROUNDUP(Empoissonnement!C6*N(Aliments!$J$9),0)</f>
        <v>0</v>
      </c>
      <c r="J6" s="15">
        <f t="shared" si="0"/>
        <v>608</v>
      </c>
      <c r="K6" s="15">
        <f>D6*N(Aliments!$C$4)+E6*N(Aliments!$C$5)+F6*N(Aliments!$C$6)+G6*N(Aliments!$C$7)+H6*N(Aliments!$C$8)+I6*N(Aliments!$C$9)</f>
        <v>9120</v>
      </c>
      <c r="L6" s="15">
        <f>(D6*N(Aliments!$D$4)+E6*N(Aliments!$D$5)+F6*N(Aliments!$D$6)+G6*N(Aliments!$D$7)+H6*N(Aliments!$D$8)+I6*N(Aliments!$D$9))*(1-Empoissonnement!$G6)</f>
        <v>9533440</v>
      </c>
      <c r="N6" s="13">
        <f>(D6*N(Aliments!$D$4)*N(Aliments!$F$4)+E6*N(Aliments!$D$5)*N(Aliments!$F$5)+F6*N(Aliments!$D$6)*N(Aliments!$F$6)+G6*N(Aliments!$D$7)*N(Aliments!$F$7)+H6*N(Aliments!$D$8)*N(Aliments!$F$8)+I6*N(Aliments!$D$9)*N(Aliments!$F$9))*(1-Empoissonnement!$G6)</f>
        <v>1368864</v>
      </c>
      <c r="O6" s="13">
        <f>(D6*N(Aliments!$D$4)*N(Aliments!$G$4)+E6*N(Aliments!$D$5)*N(Aliments!$G$5)+F6*N(Aliments!$D$6)*N(Aliments!$G$6)+G6*N(Aliments!$D$7)*N(Aliments!$G$7)+H6*N(Aliments!$D$8)*N(Aliments!$G$8)+I6*N(Aliments!$D$9)*N(Aliments!$G$9))*(1-Empoissonnement!$G6)</f>
        <v>4518976</v>
      </c>
      <c r="P6" s="13">
        <f>(D6*N(Aliments!$D$4)*N(Aliments!$H$4)+E6*N(Aliments!$D$5)*N(Aliments!$H$5)+F6*N(Aliments!$D$6)*N(Aliments!$H$6)+G6*N(Aliments!$D$7)*N(Aliments!$H$7)+H6*N(Aliments!$D$8)*N(Aliments!$H$8)+I6*N(Aliments!$D$9)*N(Aliments!$H$9))*(1-Empoissonnement!$G6)</f>
        <v>3645600</v>
      </c>
      <c r="Q6" s="56">
        <f>D6*N(Aliments!$C$4)*N(Aliments!$F$4)+E6*N(Aliments!$C$5)*N(Aliments!$F$5)+F6*N(Aliments!$C$6)*N(Aliments!$F$6)+G6*N(Aliments!$C$7)*N(Aliments!$F$7)+H6*N(Aliments!$C$8)*N(Aliments!$F$8)+I6*N(Aliments!$C$9)*N(Aliments!$F$9)</f>
        <v>1200</v>
      </c>
      <c r="R6" s="56">
        <f>D6*N(Aliments!$C$4)*N(Aliments!$G$4)+E6*N(Aliments!$C$5)*N(Aliments!$G$5)+F6*N(Aliments!$C$6)*N(Aliments!$G$6)+G6*N(Aliments!$C$7)*N(Aliments!$G$7)+H6*N(Aliments!$C$8)*N(Aliments!$G$8)+I6*N(Aliments!$C$9)*N(Aliments!$G$9)</f>
        <v>4320</v>
      </c>
      <c r="S6" s="56">
        <f>D6*N(Aliments!$C$4)*N(Aliments!$H$4)+E6*N(Aliments!$C$5)*N(Aliments!$H$5)+F6*N(Aliments!$C$6)*N(Aliments!$H$6)+G6*N(Aliments!$C$7)*N(Aliments!$H$7)+H6*N(Aliments!$C$8)*N(Aliments!$H$8)+I6*N(Aliments!$C$9)*N(Aliments!$H$9)</f>
        <v>3600</v>
      </c>
      <c r="T6" s="56">
        <f>IFERROR(Q6/INDEX('Besoins aliments'!$H$5:$H$25,MATCH(Empoissonnement!$B6,'Besoins aliments'!$A$5:$A$25,0))*INDEX(Dépenses!$B$31:$V$31,MATCH(Empoissonnement!$B6,Dépenses!$B$3:$V$3,0)),0)</f>
        <v>280232.5581395349</v>
      </c>
      <c r="U6" s="56">
        <f>IFERROR(R6/INDEX('Besoins aliments'!$H$5:$H$25,MATCH(EDATE(Empoissonnement!$B6,1),'Besoins aliments'!$A$5:$A$25,0))*INDEX(Dépenses!$B$31:$V$31,MATCH(EDATE(Empoissonnement!$B6,1),Dépenses!$B$3:$V$3,0)),0)</f>
        <v>737704.91803278693</v>
      </c>
      <c r="V6" s="56">
        <f>IFERROR(S6/INDEX('Besoins aliments'!$H$5:$H$25,MATCH(EDATE(Empoissonnement!$B6,2),'Besoins aliments'!$A$5:$A$25,0))*INDEX(Dépenses!$B$31:$V$31,MATCH(EDATE(Empoissonnement!$B6,2),Dépenses!$B$3:$V$3,0)),0)</f>
        <v>517834.39490445866</v>
      </c>
      <c r="W6" s="56">
        <f t="shared" si="1"/>
        <v>1535771.8710767804</v>
      </c>
    </row>
    <row r="7" spans="1:23" x14ac:dyDescent="0.2">
      <c r="A7" s="21" t="str">
        <f>Empoissonnement!A7</f>
        <v>V4</v>
      </c>
      <c r="B7" s="19">
        <f>Empoissonnement!B7</f>
        <v>46327</v>
      </c>
      <c r="C7" s="22">
        <f>Empoissonnement!C7</f>
        <v>8</v>
      </c>
      <c r="D7" s="7">
        <f>ROUNDUP(Empoissonnement!C7*N(Aliments!$J$4),0)</f>
        <v>64</v>
      </c>
      <c r="E7" s="7">
        <f>ROUNDUP(Empoissonnement!C7*N(Aliments!$J$5),0)</f>
        <v>144</v>
      </c>
      <c r="F7" s="7">
        <f>ROUNDUP(Empoissonnement!C7*N(Aliments!$J$6),0)</f>
        <v>400</v>
      </c>
      <c r="G7" s="7">
        <f>ROUNDUP(Empoissonnement!C7*N(Aliments!$J$7),0)</f>
        <v>0</v>
      </c>
      <c r="H7" s="7">
        <f>ROUNDUP(Empoissonnement!C7*N(Aliments!$J$8),0)</f>
        <v>0</v>
      </c>
      <c r="I7" s="7">
        <f>ROUNDUP(Empoissonnement!C7*N(Aliments!$J$9),0)</f>
        <v>0</v>
      </c>
      <c r="J7" s="15">
        <f t="shared" si="0"/>
        <v>608</v>
      </c>
      <c r="K7" s="15">
        <f>D7*N(Aliments!$C$4)+E7*N(Aliments!$C$5)+F7*N(Aliments!$C$6)+G7*N(Aliments!$C$7)+H7*N(Aliments!$C$8)+I7*N(Aliments!$C$9)</f>
        <v>9120</v>
      </c>
      <c r="L7" s="15">
        <f>(D7*N(Aliments!$D$4)+E7*N(Aliments!$D$5)+F7*N(Aliments!$D$6)+G7*N(Aliments!$D$7)+H7*N(Aliments!$D$8)+I7*N(Aliments!$D$9))*(1-Empoissonnement!$G7)</f>
        <v>9533440</v>
      </c>
      <c r="N7" s="13">
        <f>(D7*N(Aliments!$D$4)*N(Aliments!$F$4)+E7*N(Aliments!$D$5)*N(Aliments!$F$5)+F7*N(Aliments!$D$6)*N(Aliments!$F$6)+G7*N(Aliments!$D$7)*N(Aliments!$F$7)+H7*N(Aliments!$D$8)*N(Aliments!$F$8)+I7*N(Aliments!$D$9)*N(Aliments!$F$9))*(1-Empoissonnement!$G7)</f>
        <v>1368864</v>
      </c>
      <c r="O7" s="13">
        <f>(D7*N(Aliments!$D$4)*N(Aliments!$G$4)+E7*N(Aliments!$D$5)*N(Aliments!$G$5)+F7*N(Aliments!$D$6)*N(Aliments!$G$6)+G7*N(Aliments!$D$7)*N(Aliments!$G$7)+H7*N(Aliments!$D$8)*N(Aliments!$G$8)+I7*N(Aliments!$D$9)*N(Aliments!$G$9))*(1-Empoissonnement!$G7)</f>
        <v>4518976</v>
      </c>
      <c r="P7" s="13">
        <f>(D7*N(Aliments!$D$4)*N(Aliments!$H$4)+E7*N(Aliments!$D$5)*N(Aliments!$H$5)+F7*N(Aliments!$D$6)*N(Aliments!$H$6)+G7*N(Aliments!$D$7)*N(Aliments!$H$7)+H7*N(Aliments!$D$8)*N(Aliments!$H$8)+I7*N(Aliments!$D$9)*N(Aliments!$H$9))*(1-Empoissonnement!$G7)</f>
        <v>3645600</v>
      </c>
      <c r="Q7" s="56">
        <f>D7*N(Aliments!$C$4)*N(Aliments!$F$4)+E7*N(Aliments!$C$5)*N(Aliments!$F$5)+F7*N(Aliments!$C$6)*N(Aliments!$F$6)+G7*N(Aliments!$C$7)*N(Aliments!$F$7)+H7*N(Aliments!$C$8)*N(Aliments!$F$8)+I7*N(Aliments!$C$9)*N(Aliments!$F$9)</f>
        <v>1200</v>
      </c>
      <c r="R7" s="56">
        <f>D7*N(Aliments!$C$4)*N(Aliments!$G$4)+E7*N(Aliments!$C$5)*N(Aliments!$G$5)+F7*N(Aliments!$C$6)*N(Aliments!$G$6)+G7*N(Aliments!$C$7)*N(Aliments!$G$7)+H7*N(Aliments!$C$8)*N(Aliments!$G$8)+I7*N(Aliments!$C$9)*N(Aliments!$G$9)</f>
        <v>4320</v>
      </c>
      <c r="S7" s="56">
        <f>D7*N(Aliments!$C$4)*N(Aliments!$H$4)+E7*N(Aliments!$C$5)*N(Aliments!$H$5)+F7*N(Aliments!$C$6)*N(Aliments!$H$6)+G7*N(Aliments!$C$7)*N(Aliments!$H$7)+H7*N(Aliments!$C$8)*N(Aliments!$H$8)+I7*N(Aliments!$C$9)*N(Aliments!$H$9)</f>
        <v>3600</v>
      </c>
      <c r="T7" s="56">
        <f>IFERROR(Q7/INDEX('Besoins aliments'!$H$5:$H$25,MATCH(Empoissonnement!$B7,'Besoins aliments'!$A$5:$A$25,0))*INDEX(Dépenses!$B$31:$V$31,MATCH(Empoissonnement!$B7,Dépenses!$B$3:$V$3,0)),0)</f>
        <v>204918.03278688522</v>
      </c>
      <c r="U7" s="56">
        <f>IFERROR(R7/INDEX('Besoins aliments'!$H$5:$H$25,MATCH(EDATE(Empoissonnement!$B7,1),'Besoins aliments'!$A$5:$A$25,0))*INDEX(Dépenses!$B$31:$V$31,MATCH(EDATE(Empoissonnement!$B7,1),Dépenses!$B$3:$V$3,0)),0)</f>
        <v>621401.27388535033</v>
      </c>
      <c r="V7" s="56">
        <f>IFERROR(S7/INDEX('Besoins aliments'!$H$5:$H$25,MATCH(EDATE(Empoissonnement!$B7,2),'Besoins aliments'!$A$5:$A$25,0))*INDEX(Dépenses!$B$31:$V$31,MATCH(EDATE(Empoissonnement!$B7,2),Dépenses!$B$3:$V$3,0)),0)</f>
        <v>461666.66666666663</v>
      </c>
      <c r="W7" s="56">
        <f t="shared" si="1"/>
        <v>1287985.973338902</v>
      </c>
    </row>
    <row r="8" spans="1:23" x14ac:dyDescent="0.2">
      <c r="A8" s="21" t="str">
        <f>Empoissonnement!A8</f>
        <v>V5</v>
      </c>
      <c r="B8" s="19">
        <f>Empoissonnement!B8</f>
        <v>46357</v>
      </c>
      <c r="C8" s="22">
        <f>Empoissonnement!C8</f>
        <v>10</v>
      </c>
      <c r="D8" s="7">
        <f>ROUNDUP(Empoissonnement!C8*N(Aliments!$J$4),0)</f>
        <v>80</v>
      </c>
      <c r="E8" s="7">
        <f>ROUNDUP(Empoissonnement!C8*N(Aliments!$J$5),0)</f>
        <v>180</v>
      </c>
      <c r="F8" s="7">
        <f>ROUNDUP(Empoissonnement!C8*N(Aliments!$J$6),0)</f>
        <v>500</v>
      </c>
      <c r="G8" s="7">
        <f>ROUNDUP(Empoissonnement!C8*N(Aliments!$J$7),0)</f>
        <v>0</v>
      </c>
      <c r="H8" s="7">
        <f>ROUNDUP(Empoissonnement!C8*N(Aliments!$J$8),0)</f>
        <v>0</v>
      </c>
      <c r="I8" s="7">
        <f>ROUNDUP(Empoissonnement!C8*N(Aliments!$J$9),0)</f>
        <v>0</v>
      </c>
      <c r="J8" s="15">
        <f t="shared" si="0"/>
        <v>760</v>
      </c>
      <c r="K8" s="15">
        <f>D8*N(Aliments!$C$4)+E8*N(Aliments!$C$5)+F8*N(Aliments!$C$6)+G8*N(Aliments!$C$7)+H8*N(Aliments!$C$8)+I8*N(Aliments!$C$9)</f>
        <v>11400</v>
      </c>
      <c r="L8" s="15">
        <f>(D8*N(Aliments!$D$4)+E8*N(Aliments!$D$5)+F8*N(Aliments!$D$6)+G8*N(Aliments!$D$7)+H8*N(Aliments!$D$8)+I8*N(Aliments!$D$9))*(1-Empoissonnement!$G8)</f>
        <v>11673600</v>
      </c>
      <c r="N8" s="13">
        <f>(D8*N(Aliments!$D$4)*N(Aliments!$F$4)+E8*N(Aliments!$D$5)*N(Aliments!$F$5)+F8*N(Aliments!$D$6)*N(Aliments!$F$6)+G8*N(Aliments!$D$7)*N(Aliments!$F$7)+H8*N(Aliments!$D$8)*N(Aliments!$F$8)+I8*N(Aliments!$D$9)*N(Aliments!$F$9))*(1-Empoissonnement!$G8)</f>
        <v>1676160</v>
      </c>
      <c r="O8" s="13">
        <f>(D8*N(Aliments!$D$4)*N(Aliments!$G$4)+E8*N(Aliments!$D$5)*N(Aliments!$G$5)+F8*N(Aliments!$D$6)*N(Aliments!$G$6)+G8*N(Aliments!$D$7)*N(Aliments!$G$7)+H8*N(Aliments!$D$8)*N(Aliments!$G$8)+I8*N(Aliments!$D$9)*N(Aliments!$G$9))*(1-Empoissonnement!$G8)</f>
        <v>5533440</v>
      </c>
      <c r="P8" s="13">
        <f>(D8*N(Aliments!$D$4)*N(Aliments!$H$4)+E8*N(Aliments!$D$5)*N(Aliments!$H$5)+F8*N(Aliments!$D$6)*N(Aliments!$H$6)+G8*N(Aliments!$D$7)*N(Aliments!$H$7)+H8*N(Aliments!$D$8)*N(Aliments!$H$8)+I8*N(Aliments!$D$9)*N(Aliments!$H$9))*(1-Empoissonnement!$G8)</f>
        <v>4464000</v>
      </c>
      <c r="Q8" s="56">
        <f>D8*N(Aliments!$C$4)*N(Aliments!$F$4)+E8*N(Aliments!$C$5)*N(Aliments!$F$5)+F8*N(Aliments!$C$6)*N(Aliments!$F$6)+G8*N(Aliments!$C$7)*N(Aliments!$F$7)+H8*N(Aliments!$C$8)*N(Aliments!$F$8)+I8*N(Aliments!$C$9)*N(Aliments!$F$9)</f>
        <v>1500</v>
      </c>
      <c r="R8" s="56">
        <f>D8*N(Aliments!$C$4)*N(Aliments!$G$4)+E8*N(Aliments!$C$5)*N(Aliments!$G$5)+F8*N(Aliments!$C$6)*N(Aliments!$G$6)+G8*N(Aliments!$C$7)*N(Aliments!$G$7)+H8*N(Aliments!$C$8)*N(Aliments!$G$8)+I8*N(Aliments!$C$9)*N(Aliments!$G$9)</f>
        <v>5400</v>
      </c>
      <c r="S8" s="56">
        <f>D8*N(Aliments!$C$4)*N(Aliments!$H$4)+E8*N(Aliments!$C$5)*N(Aliments!$H$5)+F8*N(Aliments!$C$6)*N(Aliments!$H$6)+G8*N(Aliments!$C$7)*N(Aliments!$H$7)+H8*N(Aliments!$C$8)*N(Aliments!$H$8)+I8*N(Aliments!$C$9)*N(Aliments!$H$9)</f>
        <v>4500</v>
      </c>
      <c r="T8" s="56">
        <f>IFERROR(Q8/INDEX('Besoins aliments'!$H$5:$H$25,MATCH(Empoissonnement!$B8,'Besoins aliments'!$A$5:$A$25,0))*INDEX(Dépenses!$B$31:$V$31,MATCH(Empoissonnement!$B8,Dépenses!$B$3:$V$3,0)),0)</f>
        <v>215764.33121019107</v>
      </c>
      <c r="U8" s="56">
        <f>IFERROR(R8/INDEX('Besoins aliments'!$H$5:$H$25,MATCH(EDATE(Empoissonnement!$B8,1),'Besoins aliments'!$A$5:$A$25,0))*INDEX(Dépenses!$B$31:$V$31,MATCH(EDATE(Empoissonnement!$B8,1),Dépenses!$B$3:$V$3,0)),0)</f>
        <v>692500</v>
      </c>
      <c r="V8" s="56">
        <f>IFERROR(S8/INDEX('Besoins aliments'!$H$5:$H$25,MATCH(EDATE(Empoissonnement!$B8,2),'Besoins aliments'!$A$5:$A$25,0))*INDEX(Dépenses!$B$31:$V$31,MATCH(EDATE(Empoissonnement!$B8,2),Dépenses!$B$3:$V$3,0)),0)</f>
        <v>500000</v>
      </c>
      <c r="W8" s="56">
        <f t="shared" si="1"/>
        <v>1408264.3312101911</v>
      </c>
    </row>
    <row r="9" spans="1:23" x14ac:dyDescent="0.2">
      <c r="A9" s="21" t="str">
        <f>Empoissonnement!A9</f>
        <v>V6</v>
      </c>
      <c r="B9" s="19">
        <f>Empoissonnement!B9</f>
        <v>46388</v>
      </c>
      <c r="C9" s="22">
        <f>Empoissonnement!C9</f>
        <v>12</v>
      </c>
      <c r="D9" s="7">
        <f>ROUNDUP(Empoissonnement!C9*N(Aliments!$J$4),0)</f>
        <v>96</v>
      </c>
      <c r="E9" s="7">
        <f>ROUNDUP(Empoissonnement!C9*N(Aliments!$J$5),0)</f>
        <v>216</v>
      </c>
      <c r="F9" s="7">
        <f>ROUNDUP(Empoissonnement!C9*N(Aliments!$J$6),0)</f>
        <v>600</v>
      </c>
      <c r="G9" s="7">
        <f>ROUNDUP(Empoissonnement!C9*N(Aliments!$J$7),0)</f>
        <v>0</v>
      </c>
      <c r="H9" s="7">
        <f>ROUNDUP(Empoissonnement!C9*N(Aliments!$J$8),0)</f>
        <v>0</v>
      </c>
      <c r="I9" s="7">
        <f>ROUNDUP(Empoissonnement!C9*N(Aliments!$J$9),0)</f>
        <v>0</v>
      </c>
      <c r="J9" s="15">
        <f t="shared" si="0"/>
        <v>912</v>
      </c>
      <c r="K9" s="15">
        <f>D9*N(Aliments!$C$4)+E9*N(Aliments!$C$5)+F9*N(Aliments!$C$6)+G9*N(Aliments!$C$7)+H9*N(Aliments!$C$8)+I9*N(Aliments!$C$9)</f>
        <v>13680</v>
      </c>
      <c r="L9" s="15">
        <f>(D9*N(Aliments!$D$4)+E9*N(Aliments!$D$5)+F9*N(Aliments!$D$6)+G9*N(Aliments!$D$7)+H9*N(Aliments!$D$8)+I9*N(Aliments!$D$9))*(1-Empoissonnement!$G9)</f>
        <v>14008320</v>
      </c>
      <c r="N9" s="13">
        <f>(D9*N(Aliments!$D$4)*N(Aliments!$F$4)+E9*N(Aliments!$D$5)*N(Aliments!$F$5)+F9*N(Aliments!$D$6)*N(Aliments!$F$6)+G9*N(Aliments!$D$7)*N(Aliments!$F$7)+H9*N(Aliments!$D$8)*N(Aliments!$F$8)+I9*N(Aliments!$D$9)*N(Aliments!$F$9))*(1-Empoissonnement!$G9)</f>
        <v>2011392</v>
      </c>
      <c r="O9" s="13">
        <f>(D9*N(Aliments!$D$4)*N(Aliments!$G$4)+E9*N(Aliments!$D$5)*N(Aliments!$G$5)+F9*N(Aliments!$D$6)*N(Aliments!$G$6)+G9*N(Aliments!$D$7)*N(Aliments!$G$7)+H9*N(Aliments!$D$8)*N(Aliments!$G$8)+I9*N(Aliments!$D$9)*N(Aliments!$G$9))*(1-Empoissonnement!$G9)</f>
        <v>6640128</v>
      </c>
      <c r="P9" s="13">
        <f>(D9*N(Aliments!$D$4)*N(Aliments!$H$4)+E9*N(Aliments!$D$5)*N(Aliments!$H$5)+F9*N(Aliments!$D$6)*N(Aliments!$H$6)+G9*N(Aliments!$D$7)*N(Aliments!$H$7)+H9*N(Aliments!$D$8)*N(Aliments!$H$8)+I9*N(Aliments!$D$9)*N(Aliments!$H$9))*(1-Empoissonnement!$G9)</f>
        <v>5356800</v>
      </c>
      <c r="Q9" s="56">
        <f>D9*N(Aliments!$C$4)*N(Aliments!$F$4)+E9*N(Aliments!$C$5)*N(Aliments!$F$5)+F9*N(Aliments!$C$6)*N(Aliments!$F$6)+G9*N(Aliments!$C$7)*N(Aliments!$F$7)+H9*N(Aliments!$C$8)*N(Aliments!$F$8)+I9*N(Aliments!$C$9)*N(Aliments!$F$9)</f>
        <v>1800</v>
      </c>
      <c r="R9" s="56">
        <f>D9*N(Aliments!$C$4)*N(Aliments!$G$4)+E9*N(Aliments!$C$5)*N(Aliments!$G$5)+F9*N(Aliments!$C$6)*N(Aliments!$G$6)+G9*N(Aliments!$C$7)*N(Aliments!$G$7)+H9*N(Aliments!$C$8)*N(Aliments!$G$8)+I9*N(Aliments!$C$9)*N(Aliments!$G$9)</f>
        <v>6480</v>
      </c>
      <c r="S9" s="56">
        <f>D9*N(Aliments!$C$4)*N(Aliments!$H$4)+E9*N(Aliments!$C$5)*N(Aliments!$H$5)+F9*N(Aliments!$C$6)*N(Aliments!$H$6)+G9*N(Aliments!$C$7)*N(Aliments!$H$7)+H9*N(Aliments!$C$8)*N(Aliments!$H$8)+I9*N(Aliments!$C$9)*N(Aliments!$H$9)</f>
        <v>5400</v>
      </c>
      <c r="T9" s="56">
        <f>IFERROR(Q9/INDEX('Besoins aliments'!$H$5:$H$25,MATCH(Empoissonnement!$B9,'Besoins aliments'!$A$5:$A$25,0))*INDEX(Dépenses!$B$31:$V$31,MATCH(Empoissonnement!$B9,Dépenses!$B$3:$V$3,0)),0)</f>
        <v>230833.33333333331</v>
      </c>
      <c r="U9" s="56">
        <f>IFERROR(R9/INDEX('Besoins aliments'!$H$5:$H$25,MATCH(EDATE(Empoissonnement!$B9,1),'Besoins aliments'!$A$5:$A$25,0))*INDEX(Dépenses!$B$31:$V$31,MATCH(EDATE(Empoissonnement!$B9,1),Dépenses!$B$3:$V$3,0)),0)</f>
        <v>720000</v>
      </c>
      <c r="V9" s="56">
        <f>IFERROR(S9/INDEX('Besoins aliments'!$H$5:$H$25,MATCH(EDATE(Empoissonnement!$B9,2),'Besoins aliments'!$A$5:$A$25,0))*INDEX(Dépenses!$B$31:$V$31,MATCH(EDATE(Empoissonnement!$B9,2),Dépenses!$B$3:$V$3,0)),0)</f>
        <v>528000</v>
      </c>
      <c r="W9" s="56">
        <f t="shared" si="1"/>
        <v>1478833.3333333333</v>
      </c>
    </row>
    <row r="10" spans="1:23" x14ac:dyDescent="0.2">
      <c r="A10" s="21" t="str">
        <f>Empoissonnement!A10</f>
        <v>V7</v>
      </c>
      <c r="B10" s="19">
        <f>Empoissonnement!B10</f>
        <v>46419</v>
      </c>
      <c r="C10" s="22">
        <f>Empoissonnement!C10</f>
        <v>15</v>
      </c>
      <c r="D10" s="7">
        <f>ROUNDUP(Empoissonnement!C10*N(Aliments!$J$4),0)</f>
        <v>120</v>
      </c>
      <c r="E10" s="7">
        <f>ROUNDUP(Empoissonnement!C10*N(Aliments!$J$5),0)</f>
        <v>270</v>
      </c>
      <c r="F10" s="7">
        <f>ROUNDUP(Empoissonnement!C10*N(Aliments!$J$6),0)</f>
        <v>750</v>
      </c>
      <c r="G10" s="7">
        <f>ROUNDUP(Empoissonnement!C10*N(Aliments!$J$7),0)</f>
        <v>0</v>
      </c>
      <c r="H10" s="7">
        <f>ROUNDUP(Empoissonnement!C10*N(Aliments!$J$8),0)</f>
        <v>0</v>
      </c>
      <c r="I10" s="7">
        <f>ROUNDUP(Empoissonnement!C10*N(Aliments!$J$9),0)</f>
        <v>0</v>
      </c>
      <c r="J10" s="15">
        <f t="shared" si="0"/>
        <v>1140</v>
      </c>
      <c r="K10" s="15">
        <f>D10*N(Aliments!$C$4)+E10*N(Aliments!$C$5)+F10*N(Aliments!$C$6)+G10*N(Aliments!$C$7)+H10*N(Aliments!$C$8)+I10*N(Aliments!$C$9)</f>
        <v>17100</v>
      </c>
      <c r="L10" s="15">
        <f>(D10*N(Aliments!$D$4)+E10*N(Aliments!$D$5)+F10*N(Aliments!$D$6)+G10*N(Aliments!$D$7)+H10*N(Aliments!$D$8)+I10*N(Aliments!$D$9))*(1-Empoissonnement!$G10)</f>
        <v>17145600</v>
      </c>
      <c r="N10" s="13">
        <f>(D10*N(Aliments!$D$4)*N(Aliments!$F$4)+E10*N(Aliments!$D$5)*N(Aliments!$F$5)+F10*N(Aliments!$D$6)*N(Aliments!$F$6)+G10*N(Aliments!$D$7)*N(Aliments!$F$7)+H10*N(Aliments!$D$8)*N(Aliments!$F$8)+I10*N(Aliments!$D$9)*N(Aliments!$F$9))*(1-Empoissonnement!$G10)</f>
        <v>2461860</v>
      </c>
      <c r="O10" s="13">
        <f>(D10*N(Aliments!$D$4)*N(Aliments!$G$4)+E10*N(Aliments!$D$5)*N(Aliments!$G$5)+F10*N(Aliments!$D$6)*N(Aliments!$G$6)+G10*N(Aliments!$D$7)*N(Aliments!$G$7)+H10*N(Aliments!$D$8)*N(Aliments!$G$8)+I10*N(Aliments!$D$9)*N(Aliments!$G$9))*(1-Empoissonnement!$G10)</f>
        <v>8127240</v>
      </c>
      <c r="P10" s="13">
        <f>(D10*N(Aliments!$D$4)*N(Aliments!$H$4)+E10*N(Aliments!$D$5)*N(Aliments!$H$5)+F10*N(Aliments!$D$6)*N(Aliments!$H$6)+G10*N(Aliments!$D$7)*N(Aliments!$H$7)+H10*N(Aliments!$D$8)*N(Aliments!$H$8)+I10*N(Aliments!$D$9)*N(Aliments!$H$9))*(1-Empoissonnement!$G10)</f>
        <v>6556500</v>
      </c>
      <c r="Q10" s="56">
        <f>D10*N(Aliments!$C$4)*N(Aliments!$F$4)+E10*N(Aliments!$C$5)*N(Aliments!$F$5)+F10*N(Aliments!$C$6)*N(Aliments!$F$6)+G10*N(Aliments!$C$7)*N(Aliments!$F$7)+H10*N(Aliments!$C$8)*N(Aliments!$F$8)+I10*N(Aliments!$C$9)*N(Aliments!$F$9)</f>
        <v>2250</v>
      </c>
      <c r="R10" s="56">
        <f>D10*N(Aliments!$C$4)*N(Aliments!$G$4)+E10*N(Aliments!$C$5)*N(Aliments!$G$5)+F10*N(Aliments!$C$6)*N(Aliments!$G$6)+G10*N(Aliments!$C$7)*N(Aliments!$G$7)+H10*N(Aliments!$C$8)*N(Aliments!$G$8)+I10*N(Aliments!$C$9)*N(Aliments!$G$9)</f>
        <v>8100</v>
      </c>
      <c r="S10" s="56">
        <f>D10*N(Aliments!$C$4)*N(Aliments!$H$4)+E10*N(Aliments!$C$5)*N(Aliments!$H$5)+F10*N(Aliments!$C$6)*N(Aliments!$H$6)+G10*N(Aliments!$C$7)*N(Aliments!$H$7)+H10*N(Aliments!$C$8)*N(Aliments!$H$8)+I10*N(Aliments!$C$9)*N(Aliments!$H$9)</f>
        <v>6750</v>
      </c>
      <c r="T10" s="56">
        <f>IFERROR(Q10/INDEX('Besoins aliments'!$H$5:$H$25,MATCH(Empoissonnement!$B10,'Besoins aliments'!$A$5:$A$25,0))*INDEX(Dépenses!$B$31:$V$31,MATCH(Empoissonnement!$B10,Dépenses!$B$3:$V$3,0)),0)</f>
        <v>250000</v>
      </c>
      <c r="U10" s="56">
        <f>IFERROR(R10/INDEX('Besoins aliments'!$H$5:$H$25,MATCH(EDATE(Empoissonnement!$B10,1),'Besoins aliments'!$A$5:$A$25,0))*INDEX(Dépenses!$B$31:$V$31,MATCH(EDATE(Empoissonnement!$B10,1),Dépenses!$B$3:$V$3,0)),0)</f>
        <v>791999.99999999988</v>
      </c>
      <c r="V10" s="56">
        <f>IFERROR(S10/INDEX('Besoins aliments'!$H$5:$H$25,MATCH(EDATE(Empoissonnement!$B10,2),'Besoins aliments'!$A$5:$A$25,0))*INDEX(Dépenses!$B$31:$V$31,MATCH(EDATE(Empoissonnement!$B10,2),Dépenses!$B$3:$V$3,0)),0)</f>
        <v>633552.63157894742</v>
      </c>
      <c r="W10" s="56">
        <f t="shared" si="1"/>
        <v>1675552.6315789474</v>
      </c>
    </row>
    <row r="11" spans="1:23" x14ac:dyDescent="0.2">
      <c r="A11" s="21" t="str">
        <f>Empoissonnement!A11</f>
        <v>V8</v>
      </c>
      <c r="B11" s="19">
        <f>Empoissonnement!B11</f>
        <v>46447</v>
      </c>
      <c r="C11" s="22">
        <f>Empoissonnement!C11</f>
        <v>15</v>
      </c>
      <c r="D11" s="7">
        <f>ROUNDUP(Empoissonnement!C11*N(Aliments!$J$4),0)</f>
        <v>120</v>
      </c>
      <c r="E11" s="7">
        <f>ROUNDUP(Empoissonnement!C11*N(Aliments!$J$5),0)</f>
        <v>270</v>
      </c>
      <c r="F11" s="7">
        <f>ROUNDUP(Empoissonnement!C11*N(Aliments!$J$6),0)</f>
        <v>750</v>
      </c>
      <c r="G11" s="7">
        <f>ROUNDUP(Empoissonnement!C11*N(Aliments!$J$7),0)</f>
        <v>0</v>
      </c>
      <c r="H11" s="7">
        <f>ROUNDUP(Empoissonnement!C11*N(Aliments!$J$8),0)</f>
        <v>0</v>
      </c>
      <c r="I11" s="7">
        <f>ROUNDUP(Empoissonnement!C11*N(Aliments!$J$9),0)</f>
        <v>0</v>
      </c>
      <c r="J11" s="15">
        <f t="shared" si="0"/>
        <v>1140</v>
      </c>
      <c r="K11" s="15">
        <f>D11*N(Aliments!$C$4)+E11*N(Aliments!$C$5)+F11*N(Aliments!$C$6)+G11*N(Aliments!$C$7)+H11*N(Aliments!$C$8)+I11*N(Aliments!$C$9)</f>
        <v>17100</v>
      </c>
      <c r="L11" s="15">
        <f>(D11*N(Aliments!$D$4)+E11*N(Aliments!$D$5)+F11*N(Aliments!$D$6)+G11*N(Aliments!$D$7)+H11*N(Aliments!$D$8)+I11*N(Aliments!$D$9))*(1-Empoissonnement!$G11)</f>
        <v>17145600</v>
      </c>
      <c r="N11" s="13">
        <f>(D11*N(Aliments!$D$4)*N(Aliments!$F$4)+E11*N(Aliments!$D$5)*N(Aliments!$F$5)+F11*N(Aliments!$D$6)*N(Aliments!$F$6)+G11*N(Aliments!$D$7)*N(Aliments!$F$7)+H11*N(Aliments!$D$8)*N(Aliments!$F$8)+I11*N(Aliments!$D$9)*N(Aliments!$F$9))*(1-Empoissonnement!$G11)</f>
        <v>2461860</v>
      </c>
      <c r="O11" s="13">
        <f>(D11*N(Aliments!$D$4)*N(Aliments!$G$4)+E11*N(Aliments!$D$5)*N(Aliments!$G$5)+F11*N(Aliments!$D$6)*N(Aliments!$G$6)+G11*N(Aliments!$D$7)*N(Aliments!$G$7)+H11*N(Aliments!$D$8)*N(Aliments!$G$8)+I11*N(Aliments!$D$9)*N(Aliments!$G$9))*(1-Empoissonnement!$G11)</f>
        <v>8127240</v>
      </c>
      <c r="P11" s="13">
        <f>(D11*N(Aliments!$D$4)*N(Aliments!$H$4)+E11*N(Aliments!$D$5)*N(Aliments!$H$5)+F11*N(Aliments!$D$6)*N(Aliments!$H$6)+G11*N(Aliments!$D$7)*N(Aliments!$H$7)+H11*N(Aliments!$D$8)*N(Aliments!$H$8)+I11*N(Aliments!$D$9)*N(Aliments!$H$9))*(1-Empoissonnement!$G11)</f>
        <v>6556500</v>
      </c>
      <c r="Q11" s="56">
        <f>D11*N(Aliments!$C$4)*N(Aliments!$F$4)+E11*N(Aliments!$C$5)*N(Aliments!$F$5)+F11*N(Aliments!$C$6)*N(Aliments!$F$6)+G11*N(Aliments!$C$7)*N(Aliments!$F$7)+H11*N(Aliments!$C$8)*N(Aliments!$F$8)+I11*N(Aliments!$C$9)*N(Aliments!$F$9)</f>
        <v>2250</v>
      </c>
      <c r="R11" s="56">
        <f>D11*N(Aliments!$C$4)*N(Aliments!$G$4)+E11*N(Aliments!$C$5)*N(Aliments!$G$5)+F11*N(Aliments!$C$6)*N(Aliments!$G$6)+G11*N(Aliments!$C$7)*N(Aliments!$G$7)+H11*N(Aliments!$C$8)*N(Aliments!$G$8)+I11*N(Aliments!$C$9)*N(Aliments!$G$9)</f>
        <v>8100</v>
      </c>
      <c r="S11" s="56">
        <f>D11*N(Aliments!$C$4)*N(Aliments!$H$4)+E11*N(Aliments!$C$5)*N(Aliments!$H$5)+F11*N(Aliments!$C$6)*N(Aliments!$H$6)+G11*N(Aliments!$C$7)*N(Aliments!$H$7)+H11*N(Aliments!$C$8)*N(Aliments!$H$8)+I11*N(Aliments!$C$9)*N(Aliments!$H$9)</f>
        <v>6750</v>
      </c>
      <c r="T11" s="56">
        <f>IFERROR(Q11/INDEX('Besoins aliments'!$H$5:$H$25,MATCH(Empoissonnement!$B11,'Besoins aliments'!$A$5:$A$25,0))*INDEX(Dépenses!$B$31:$V$31,MATCH(Empoissonnement!$B11,Dépenses!$B$3:$V$3,0)),0)</f>
        <v>220000</v>
      </c>
      <c r="U11" s="56">
        <f>IFERROR(R11/INDEX('Besoins aliments'!$H$5:$H$25,MATCH(EDATE(Empoissonnement!$B11,1),'Besoins aliments'!$A$5:$A$25,0))*INDEX(Dépenses!$B$31:$V$31,MATCH(EDATE(Empoissonnement!$B11,1),Dépenses!$B$3:$V$3,0)),0)</f>
        <v>760263.15789473685</v>
      </c>
      <c r="V11" s="56">
        <f>IFERROR(S11/INDEX('Besoins aliments'!$H$5:$H$25,MATCH(EDATE(Empoissonnement!$B11,2),'Besoins aliments'!$A$5:$A$25,0))*INDEX(Dépenses!$B$31:$V$31,MATCH(EDATE(Empoissonnement!$B11,2),Dépenses!$B$3:$V$3,0)),0)</f>
        <v>633552.63157894742</v>
      </c>
      <c r="W11" s="56">
        <f t="shared" si="1"/>
        <v>1613815.7894736843</v>
      </c>
    </row>
    <row r="12" spans="1:23" x14ac:dyDescent="0.2">
      <c r="A12" s="21" t="str">
        <f>Empoissonnement!A12</f>
        <v>V9</v>
      </c>
      <c r="B12" s="19">
        <f>Empoissonnement!B12</f>
        <v>46478</v>
      </c>
      <c r="C12" s="22">
        <f>Empoissonnement!C12</f>
        <v>15</v>
      </c>
      <c r="D12" s="7">
        <f>ROUNDUP(Empoissonnement!C12*N(Aliments!$J$4),0)</f>
        <v>120</v>
      </c>
      <c r="E12" s="7">
        <f>ROUNDUP(Empoissonnement!C12*N(Aliments!$J$5),0)</f>
        <v>270</v>
      </c>
      <c r="F12" s="7">
        <f>ROUNDUP(Empoissonnement!C12*N(Aliments!$J$6),0)</f>
        <v>750</v>
      </c>
      <c r="G12" s="7">
        <f>ROUNDUP(Empoissonnement!C12*N(Aliments!$J$7),0)</f>
        <v>0</v>
      </c>
      <c r="H12" s="7">
        <f>ROUNDUP(Empoissonnement!C12*N(Aliments!$J$8),0)</f>
        <v>0</v>
      </c>
      <c r="I12" s="7">
        <f>ROUNDUP(Empoissonnement!C12*N(Aliments!$J$9),0)</f>
        <v>0</v>
      </c>
      <c r="J12" s="15">
        <f t="shared" si="0"/>
        <v>1140</v>
      </c>
      <c r="K12" s="15">
        <f>D12*N(Aliments!$C$4)+E12*N(Aliments!$C$5)+F12*N(Aliments!$C$6)+G12*N(Aliments!$C$7)+H12*N(Aliments!$C$8)+I12*N(Aliments!$C$9)</f>
        <v>17100</v>
      </c>
      <c r="L12" s="15">
        <f>(D12*N(Aliments!$D$4)+E12*N(Aliments!$D$5)+F12*N(Aliments!$D$6)+G12*N(Aliments!$D$7)+H12*N(Aliments!$D$8)+I12*N(Aliments!$D$9))*(1-Empoissonnement!$G12)</f>
        <v>17145600</v>
      </c>
      <c r="N12" s="13">
        <f>(D12*N(Aliments!$D$4)*N(Aliments!$F$4)+E12*N(Aliments!$D$5)*N(Aliments!$F$5)+F12*N(Aliments!$D$6)*N(Aliments!$F$6)+G12*N(Aliments!$D$7)*N(Aliments!$F$7)+H12*N(Aliments!$D$8)*N(Aliments!$F$8)+I12*N(Aliments!$D$9)*N(Aliments!$F$9))*(1-Empoissonnement!$G12)</f>
        <v>2461860</v>
      </c>
      <c r="O12" s="13">
        <f>(D12*N(Aliments!$D$4)*N(Aliments!$G$4)+E12*N(Aliments!$D$5)*N(Aliments!$G$5)+F12*N(Aliments!$D$6)*N(Aliments!$G$6)+G12*N(Aliments!$D$7)*N(Aliments!$G$7)+H12*N(Aliments!$D$8)*N(Aliments!$G$8)+I12*N(Aliments!$D$9)*N(Aliments!$G$9))*(1-Empoissonnement!$G12)</f>
        <v>8127240</v>
      </c>
      <c r="P12" s="13">
        <f>(D12*N(Aliments!$D$4)*N(Aliments!$H$4)+E12*N(Aliments!$D$5)*N(Aliments!$H$5)+F12*N(Aliments!$D$6)*N(Aliments!$H$6)+G12*N(Aliments!$D$7)*N(Aliments!$H$7)+H12*N(Aliments!$D$8)*N(Aliments!$H$8)+I12*N(Aliments!$D$9)*N(Aliments!$H$9))*(1-Empoissonnement!$G12)</f>
        <v>6556500</v>
      </c>
      <c r="Q12" s="56">
        <f>D12*N(Aliments!$C$4)*N(Aliments!$F$4)+E12*N(Aliments!$C$5)*N(Aliments!$F$5)+F12*N(Aliments!$C$6)*N(Aliments!$F$6)+G12*N(Aliments!$C$7)*N(Aliments!$F$7)+H12*N(Aliments!$C$8)*N(Aliments!$F$8)+I12*N(Aliments!$C$9)*N(Aliments!$F$9)</f>
        <v>2250</v>
      </c>
      <c r="R12" s="56">
        <f>D12*N(Aliments!$C$4)*N(Aliments!$G$4)+E12*N(Aliments!$C$5)*N(Aliments!$G$5)+F12*N(Aliments!$C$6)*N(Aliments!$G$6)+G12*N(Aliments!$C$7)*N(Aliments!$G$7)+H12*N(Aliments!$C$8)*N(Aliments!$G$8)+I12*N(Aliments!$C$9)*N(Aliments!$G$9)</f>
        <v>8100</v>
      </c>
      <c r="S12" s="56">
        <f>D12*N(Aliments!$C$4)*N(Aliments!$H$4)+E12*N(Aliments!$C$5)*N(Aliments!$H$5)+F12*N(Aliments!$C$6)*N(Aliments!$H$6)+G12*N(Aliments!$C$7)*N(Aliments!$H$7)+H12*N(Aliments!$C$8)*N(Aliments!$H$8)+I12*N(Aliments!$C$9)*N(Aliments!$H$9)</f>
        <v>6750</v>
      </c>
      <c r="T12" s="56">
        <f>IFERROR(Q12/INDEX('Besoins aliments'!$H$5:$H$25,MATCH(Empoissonnement!$B12,'Besoins aliments'!$A$5:$A$25,0))*INDEX(Dépenses!$B$31:$V$31,MATCH(Empoissonnement!$B12,Dépenses!$B$3:$V$3,0)),0)</f>
        <v>211184.21052631579</v>
      </c>
      <c r="U12" s="56">
        <f>IFERROR(R12/INDEX('Besoins aliments'!$H$5:$H$25,MATCH(EDATE(Empoissonnement!$B12,1),'Besoins aliments'!$A$5:$A$25,0))*INDEX(Dépenses!$B$31:$V$31,MATCH(EDATE(Empoissonnement!$B12,1),Dépenses!$B$3:$V$3,0)),0)</f>
        <v>760263.15789473685</v>
      </c>
      <c r="V12" s="56">
        <f>IFERROR(S12/INDEX('Besoins aliments'!$H$5:$H$25,MATCH(EDATE(Empoissonnement!$B12,2),'Besoins aliments'!$A$5:$A$25,0))*INDEX(Dépenses!$B$31:$V$31,MATCH(EDATE(Empoissonnement!$B12,2),Dépenses!$B$3:$V$3,0)),0)</f>
        <v>633552.63157894742</v>
      </c>
      <c r="W12" s="56">
        <f t="shared" si="1"/>
        <v>1605000</v>
      </c>
    </row>
    <row r="13" spans="1:23" x14ac:dyDescent="0.2">
      <c r="A13" s="21" t="str">
        <f>Empoissonnement!A13</f>
        <v>V10</v>
      </c>
      <c r="B13" s="19">
        <f>Empoissonnement!B13</f>
        <v>46508</v>
      </c>
      <c r="C13" s="22">
        <f>Empoissonnement!C13</f>
        <v>15</v>
      </c>
      <c r="D13" s="7">
        <f>ROUNDUP(Empoissonnement!C13*N(Aliments!$J$4),0)</f>
        <v>120</v>
      </c>
      <c r="E13" s="7">
        <f>ROUNDUP(Empoissonnement!C13*N(Aliments!$J$5),0)</f>
        <v>270</v>
      </c>
      <c r="F13" s="7">
        <f>ROUNDUP(Empoissonnement!C13*N(Aliments!$J$6),0)</f>
        <v>750</v>
      </c>
      <c r="G13" s="7">
        <f>ROUNDUP(Empoissonnement!C13*N(Aliments!$J$7),0)</f>
        <v>0</v>
      </c>
      <c r="H13" s="7">
        <f>ROUNDUP(Empoissonnement!C13*N(Aliments!$J$8),0)</f>
        <v>0</v>
      </c>
      <c r="I13" s="7">
        <f>ROUNDUP(Empoissonnement!C13*N(Aliments!$J$9),0)</f>
        <v>0</v>
      </c>
      <c r="J13" s="15">
        <f t="shared" si="0"/>
        <v>1140</v>
      </c>
      <c r="K13" s="15">
        <f>D13*N(Aliments!$C$4)+E13*N(Aliments!$C$5)+F13*N(Aliments!$C$6)+G13*N(Aliments!$C$7)+H13*N(Aliments!$C$8)+I13*N(Aliments!$C$9)</f>
        <v>17100</v>
      </c>
      <c r="L13" s="15">
        <f>(D13*N(Aliments!$D$4)+E13*N(Aliments!$D$5)+F13*N(Aliments!$D$6)+G13*N(Aliments!$D$7)+H13*N(Aliments!$D$8)+I13*N(Aliments!$D$9))*(1-Empoissonnement!$G13)</f>
        <v>17145600</v>
      </c>
      <c r="N13" s="13">
        <f>(D13*N(Aliments!$D$4)*N(Aliments!$F$4)+E13*N(Aliments!$D$5)*N(Aliments!$F$5)+F13*N(Aliments!$D$6)*N(Aliments!$F$6)+G13*N(Aliments!$D$7)*N(Aliments!$F$7)+H13*N(Aliments!$D$8)*N(Aliments!$F$8)+I13*N(Aliments!$D$9)*N(Aliments!$F$9))*(1-Empoissonnement!$G13)</f>
        <v>2461860</v>
      </c>
      <c r="O13" s="13">
        <f>(D13*N(Aliments!$D$4)*N(Aliments!$G$4)+E13*N(Aliments!$D$5)*N(Aliments!$G$5)+F13*N(Aliments!$D$6)*N(Aliments!$G$6)+G13*N(Aliments!$D$7)*N(Aliments!$G$7)+H13*N(Aliments!$D$8)*N(Aliments!$G$8)+I13*N(Aliments!$D$9)*N(Aliments!$G$9))*(1-Empoissonnement!$G13)</f>
        <v>8127240</v>
      </c>
      <c r="P13" s="13">
        <f>(D13*N(Aliments!$D$4)*N(Aliments!$H$4)+E13*N(Aliments!$D$5)*N(Aliments!$H$5)+F13*N(Aliments!$D$6)*N(Aliments!$H$6)+G13*N(Aliments!$D$7)*N(Aliments!$H$7)+H13*N(Aliments!$D$8)*N(Aliments!$H$8)+I13*N(Aliments!$D$9)*N(Aliments!$H$9))*(1-Empoissonnement!$G13)</f>
        <v>6556500</v>
      </c>
      <c r="Q13" s="56">
        <f>D13*N(Aliments!$C$4)*N(Aliments!$F$4)+E13*N(Aliments!$C$5)*N(Aliments!$F$5)+F13*N(Aliments!$C$6)*N(Aliments!$F$6)+G13*N(Aliments!$C$7)*N(Aliments!$F$7)+H13*N(Aliments!$C$8)*N(Aliments!$F$8)+I13*N(Aliments!$C$9)*N(Aliments!$F$9)</f>
        <v>2250</v>
      </c>
      <c r="R13" s="56">
        <f>D13*N(Aliments!$C$4)*N(Aliments!$G$4)+E13*N(Aliments!$C$5)*N(Aliments!$G$5)+F13*N(Aliments!$C$6)*N(Aliments!$G$6)+G13*N(Aliments!$C$7)*N(Aliments!$G$7)+H13*N(Aliments!$C$8)*N(Aliments!$G$8)+I13*N(Aliments!$C$9)*N(Aliments!$G$9)</f>
        <v>8100</v>
      </c>
      <c r="S13" s="56">
        <f>D13*N(Aliments!$C$4)*N(Aliments!$H$4)+E13*N(Aliments!$C$5)*N(Aliments!$H$5)+F13*N(Aliments!$C$6)*N(Aliments!$H$6)+G13*N(Aliments!$C$7)*N(Aliments!$H$7)+H13*N(Aliments!$C$8)*N(Aliments!$H$8)+I13*N(Aliments!$C$9)*N(Aliments!$H$9)</f>
        <v>6750</v>
      </c>
      <c r="T13" s="56">
        <f>IFERROR(Q13/INDEX('Besoins aliments'!$H$5:$H$25,MATCH(Empoissonnement!$B13,'Besoins aliments'!$A$5:$A$25,0))*INDEX(Dépenses!$B$31:$V$31,MATCH(Empoissonnement!$B13,Dépenses!$B$3:$V$3,0)),0)</f>
        <v>211184.21052631579</v>
      </c>
      <c r="U13" s="56">
        <f>IFERROR(R13/INDEX('Besoins aliments'!$H$5:$H$25,MATCH(EDATE(Empoissonnement!$B13,1),'Besoins aliments'!$A$5:$A$25,0))*INDEX(Dépenses!$B$31:$V$31,MATCH(EDATE(Empoissonnement!$B13,1),Dépenses!$B$3:$V$3,0)),0)</f>
        <v>760263.15789473685</v>
      </c>
      <c r="V13" s="56">
        <f>IFERROR(S13/INDEX('Besoins aliments'!$H$5:$H$25,MATCH(EDATE(Empoissonnement!$B13,2),'Besoins aliments'!$A$5:$A$25,0))*INDEX(Dépenses!$B$31:$V$31,MATCH(EDATE(Empoissonnement!$B13,2),Dépenses!$B$3:$V$3,0)),0)</f>
        <v>633552.63157894742</v>
      </c>
      <c r="W13" s="56">
        <f t="shared" si="1"/>
        <v>1605000</v>
      </c>
    </row>
    <row r="14" spans="1:23" x14ac:dyDescent="0.2">
      <c r="A14" s="21" t="str">
        <f>Empoissonnement!A14</f>
        <v>V11</v>
      </c>
      <c r="B14" s="19">
        <f>Empoissonnement!B14</f>
        <v>46539</v>
      </c>
      <c r="C14" s="22">
        <f>Empoissonnement!C14</f>
        <v>15</v>
      </c>
      <c r="D14" s="7">
        <f>ROUNDUP(Empoissonnement!C14*N(Aliments!$J$4),0)</f>
        <v>120</v>
      </c>
      <c r="E14" s="7">
        <f>ROUNDUP(Empoissonnement!C14*N(Aliments!$J$5),0)</f>
        <v>270</v>
      </c>
      <c r="F14" s="7">
        <f>ROUNDUP(Empoissonnement!C14*N(Aliments!$J$6),0)</f>
        <v>750</v>
      </c>
      <c r="G14" s="7">
        <f>ROUNDUP(Empoissonnement!C14*N(Aliments!$J$7),0)</f>
        <v>0</v>
      </c>
      <c r="H14" s="7">
        <f>ROUNDUP(Empoissonnement!C14*N(Aliments!$J$8),0)</f>
        <v>0</v>
      </c>
      <c r="I14" s="7">
        <f>ROUNDUP(Empoissonnement!C14*N(Aliments!$J$9),0)</f>
        <v>0</v>
      </c>
      <c r="J14" s="15">
        <f t="shared" si="0"/>
        <v>1140</v>
      </c>
      <c r="K14" s="15">
        <f>D14*N(Aliments!$C$4)+E14*N(Aliments!$C$5)+F14*N(Aliments!$C$6)+G14*N(Aliments!$C$7)+H14*N(Aliments!$C$8)+I14*N(Aliments!$C$9)</f>
        <v>17100</v>
      </c>
      <c r="L14" s="15">
        <f>(D14*N(Aliments!$D$4)+E14*N(Aliments!$D$5)+F14*N(Aliments!$D$6)+G14*N(Aliments!$D$7)+H14*N(Aliments!$D$8)+I14*N(Aliments!$D$9))*(1-Empoissonnement!$G14)</f>
        <v>17145600</v>
      </c>
      <c r="N14" s="13">
        <f>(D14*N(Aliments!$D$4)*N(Aliments!$F$4)+E14*N(Aliments!$D$5)*N(Aliments!$F$5)+F14*N(Aliments!$D$6)*N(Aliments!$F$6)+G14*N(Aliments!$D$7)*N(Aliments!$F$7)+H14*N(Aliments!$D$8)*N(Aliments!$F$8)+I14*N(Aliments!$D$9)*N(Aliments!$F$9))*(1-Empoissonnement!$G14)</f>
        <v>2461860</v>
      </c>
      <c r="O14" s="13">
        <f>(D14*N(Aliments!$D$4)*N(Aliments!$G$4)+E14*N(Aliments!$D$5)*N(Aliments!$G$5)+F14*N(Aliments!$D$6)*N(Aliments!$G$6)+G14*N(Aliments!$D$7)*N(Aliments!$G$7)+H14*N(Aliments!$D$8)*N(Aliments!$G$8)+I14*N(Aliments!$D$9)*N(Aliments!$G$9))*(1-Empoissonnement!$G14)</f>
        <v>8127240</v>
      </c>
      <c r="P14" s="13">
        <f>(D14*N(Aliments!$D$4)*N(Aliments!$H$4)+E14*N(Aliments!$D$5)*N(Aliments!$H$5)+F14*N(Aliments!$D$6)*N(Aliments!$H$6)+G14*N(Aliments!$D$7)*N(Aliments!$H$7)+H14*N(Aliments!$D$8)*N(Aliments!$H$8)+I14*N(Aliments!$D$9)*N(Aliments!$H$9))*(1-Empoissonnement!$G14)</f>
        <v>6556500</v>
      </c>
      <c r="Q14" s="56">
        <f>D14*N(Aliments!$C$4)*N(Aliments!$F$4)+E14*N(Aliments!$C$5)*N(Aliments!$F$5)+F14*N(Aliments!$C$6)*N(Aliments!$F$6)+G14*N(Aliments!$C$7)*N(Aliments!$F$7)+H14*N(Aliments!$C$8)*N(Aliments!$F$8)+I14*N(Aliments!$C$9)*N(Aliments!$F$9)</f>
        <v>2250</v>
      </c>
      <c r="R14" s="56">
        <f>D14*N(Aliments!$C$4)*N(Aliments!$G$4)+E14*N(Aliments!$C$5)*N(Aliments!$G$5)+F14*N(Aliments!$C$6)*N(Aliments!$G$6)+G14*N(Aliments!$C$7)*N(Aliments!$G$7)+H14*N(Aliments!$C$8)*N(Aliments!$G$8)+I14*N(Aliments!$C$9)*N(Aliments!$G$9)</f>
        <v>8100</v>
      </c>
      <c r="S14" s="56">
        <f>D14*N(Aliments!$C$4)*N(Aliments!$H$4)+E14*N(Aliments!$C$5)*N(Aliments!$H$5)+F14*N(Aliments!$C$6)*N(Aliments!$H$6)+G14*N(Aliments!$C$7)*N(Aliments!$H$7)+H14*N(Aliments!$C$8)*N(Aliments!$H$8)+I14*N(Aliments!$C$9)*N(Aliments!$H$9)</f>
        <v>6750</v>
      </c>
      <c r="T14" s="56">
        <f>IFERROR(Q14/INDEX('Besoins aliments'!$H$5:$H$25,MATCH(Empoissonnement!$B14,'Besoins aliments'!$A$5:$A$25,0))*INDEX(Dépenses!$B$31:$V$31,MATCH(Empoissonnement!$B14,Dépenses!$B$3:$V$3,0)),0)</f>
        <v>211184.21052631579</v>
      </c>
      <c r="U14" s="56">
        <f>IFERROR(R14/INDEX('Besoins aliments'!$H$5:$H$25,MATCH(EDATE(Empoissonnement!$B14,1),'Besoins aliments'!$A$5:$A$25,0))*INDEX(Dépenses!$B$31:$V$31,MATCH(EDATE(Empoissonnement!$B14,1),Dépenses!$B$3:$V$3,0)),0)</f>
        <v>760263.15789473685</v>
      </c>
      <c r="V14" s="56">
        <f>IFERROR(S14/INDEX('Besoins aliments'!$H$5:$H$25,MATCH(EDATE(Empoissonnement!$B14,2),'Besoins aliments'!$A$5:$A$25,0))*INDEX(Dépenses!$B$31:$V$31,MATCH(EDATE(Empoissonnement!$B14,2),Dépenses!$B$3:$V$3,0)),0)</f>
        <v>633552.63157894742</v>
      </c>
      <c r="W14" s="56">
        <f t="shared" si="1"/>
        <v>1605000</v>
      </c>
    </row>
    <row r="15" spans="1:23" x14ac:dyDescent="0.2">
      <c r="A15" s="21" t="str">
        <f>Empoissonnement!A15</f>
        <v>V12</v>
      </c>
      <c r="B15" s="19">
        <f>Empoissonnement!B15</f>
        <v>46569</v>
      </c>
      <c r="C15" s="22">
        <f>Empoissonnement!C15</f>
        <v>15</v>
      </c>
      <c r="D15" s="7">
        <f>ROUNDUP(Empoissonnement!C15*N(Aliments!$J$4),0)</f>
        <v>120</v>
      </c>
      <c r="E15" s="7">
        <f>ROUNDUP(Empoissonnement!C15*N(Aliments!$J$5),0)</f>
        <v>270</v>
      </c>
      <c r="F15" s="7">
        <f>ROUNDUP(Empoissonnement!C15*N(Aliments!$J$6),0)</f>
        <v>750</v>
      </c>
      <c r="G15" s="7">
        <f>ROUNDUP(Empoissonnement!C15*N(Aliments!$J$7),0)</f>
        <v>0</v>
      </c>
      <c r="H15" s="7">
        <f>ROUNDUP(Empoissonnement!C15*N(Aliments!$J$8),0)</f>
        <v>0</v>
      </c>
      <c r="I15" s="7">
        <f>ROUNDUP(Empoissonnement!C15*N(Aliments!$J$9),0)</f>
        <v>0</v>
      </c>
      <c r="J15" s="15">
        <f t="shared" si="0"/>
        <v>1140</v>
      </c>
      <c r="K15" s="15">
        <f>D15*N(Aliments!$C$4)+E15*N(Aliments!$C$5)+F15*N(Aliments!$C$6)+G15*N(Aliments!$C$7)+H15*N(Aliments!$C$8)+I15*N(Aliments!$C$9)</f>
        <v>17100</v>
      </c>
      <c r="L15" s="15">
        <f>(D15*N(Aliments!$D$4)+E15*N(Aliments!$D$5)+F15*N(Aliments!$D$6)+G15*N(Aliments!$D$7)+H15*N(Aliments!$D$8)+I15*N(Aliments!$D$9))*(1-Empoissonnement!$G15)</f>
        <v>17145600</v>
      </c>
      <c r="N15" s="13">
        <f>(D15*N(Aliments!$D$4)*N(Aliments!$F$4)+E15*N(Aliments!$D$5)*N(Aliments!$F$5)+F15*N(Aliments!$D$6)*N(Aliments!$F$6)+G15*N(Aliments!$D$7)*N(Aliments!$F$7)+H15*N(Aliments!$D$8)*N(Aliments!$F$8)+I15*N(Aliments!$D$9)*N(Aliments!$F$9))*(1-Empoissonnement!$G15)</f>
        <v>2461860</v>
      </c>
      <c r="O15" s="13">
        <f>(D15*N(Aliments!$D$4)*N(Aliments!$G$4)+E15*N(Aliments!$D$5)*N(Aliments!$G$5)+F15*N(Aliments!$D$6)*N(Aliments!$G$6)+G15*N(Aliments!$D$7)*N(Aliments!$G$7)+H15*N(Aliments!$D$8)*N(Aliments!$G$8)+I15*N(Aliments!$D$9)*N(Aliments!$G$9))*(1-Empoissonnement!$G15)</f>
        <v>8127240</v>
      </c>
      <c r="P15" s="13">
        <f>(D15*N(Aliments!$D$4)*N(Aliments!$H$4)+E15*N(Aliments!$D$5)*N(Aliments!$H$5)+F15*N(Aliments!$D$6)*N(Aliments!$H$6)+G15*N(Aliments!$D$7)*N(Aliments!$H$7)+H15*N(Aliments!$D$8)*N(Aliments!$H$8)+I15*N(Aliments!$D$9)*N(Aliments!$H$9))*(1-Empoissonnement!$G15)</f>
        <v>6556500</v>
      </c>
      <c r="Q15" s="56">
        <f>D15*N(Aliments!$C$4)*N(Aliments!$F$4)+E15*N(Aliments!$C$5)*N(Aliments!$F$5)+F15*N(Aliments!$C$6)*N(Aliments!$F$6)+G15*N(Aliments!$C$7)*N(Aliments!$F$7)+H15*N(Aliments!$C$8)*N(Aliments!$F$8)+I15*N(Aliments!$C$9)*N(Aliments!$F$9)</f>
        <v>2250</v>
      </c>
      <c r="R15" s="56">
        <f>D15*N(Aliments!$C$4)*N(Aliments!$G$4)+E15*N(Aliments!$C$5)*N(Aliments!$G$5)+F15*N(Aliments!$C$6)*N(Aliments!$G$6)+G15*N(Aliments!$C$7)*N(Aliments!$G$7)+H15*N(Aliments!$C$8)*N(Aliments!$G$8)+I15*N(Aliments!$C$9)*N(Aliments!$G$9)</f>
        <v>8100</v>
      </c>
      <c r="S15" s="56">
        <f>D15*N(Aliments!$C$4)*N(Aliments!$H$4)+E15*N(Aliments!$C$5)*N(Aliments!$H$5)+F15*N(Aliments!$C$6)*N(Aliments!$H$6)+G15*N(Aliments!$C$7)*N(Aliments!$H$7)+H15*N(Aliments!$C$8)*N(Aliments!$H$8)+I15*N(Aliments!$C$9)*N(Aliments!$H$9)</f>
        <v>6750</v>
      </c>
      <c r="T15" s="56">
        <f>IFERROR(Q15/INDEX('Besoins aliments'!$H$5:$H$25,MATCH(Empoissonnement!$B15,'Besoins aliments'!$A$5:$A$25,0))*INDEX(Dépenses!$B$31:$V$31,MATCH(Empoissonnement!$B15,Dépenses!$B$3:$V$3,0)),0)</f>
        <v>211184.21052631579</v>
      </c>
      <c r="U15" s="56">
        <f>IFERROR(R15/INDEX('Besoins aliments'!$H$5:$H$25,MATCH(EDATE(Empoissonnement!$B15,1),'Besoins aliments'!$A$5:$A$25,0))*INDEX(Dépenses!$B$31:$V$31,MATCH(EDATE(Empoissonnement!$B15,1),Dépenses!$B$3:$V$3,0)),0)</f>
        <v>760263.15789473685</v>
      </c>
      <c r="V15" s="56">
        <f>IFERROR(S15/INDEX('Besoins aliments'!$H$5:$H$25,MATCH(EDATE(Empoissonnement!$B15,2),'Besoins aliments'!$A$5:$A$25,0))*INDEX(Dépenses!$B$31:$V$31,MATCH(EDATE(Empoissonnement!$B15,2),Dépenses!$B$3:$V$3,0)),0)</f>
        <v>633552.63157894742</v>
      </c>
      <c r="W15" s="56">
        <f t="shared" si="1"/>
        <v>1605000</v>
      </c>
    </row>
    <row r="16" spans="1:23" x14ac:dyDescent="0.2">
      <c r="A16" s="21" t="str">
        <f>Empoissonnement!A16</f>
        <v>V13</v>
      </c>
      <c r="B16" s="19">
        <f>Empoissonnement!B16</f>
        <v>46600</v>
      </c>
      <c r="C16" s="22">
        <f>Empoissonnement!C16</f>
        <v>15</v>
      </c>
      <c r="D16" s="7">
        <f>ROUNDUP(Empoissonnement!C16*N(Aliments!$J$4),0)</f>
        <v>120</v>
      </c>
      <c r="E16" s="7">
        <f>ROUNDUP(Empoissonnement!C16*N(Aliments!$J$5),0)</f>
        <v>270</v>
      </c>
      <c r="F16" s="7">
        <f>ROUNDUP(Empoissonnement!C16*N(Aliments!$J$6),0)</f>
        <v>750</v>
      </c>
      <c r="G16" s="7">
        <f>ROUNDUP(Empoissonnement!C16*N(Aliments!$J$7),0)</f>
        <v>0</v>
      </c>
      <c r="H16" s="7">
        <f>ROUNDUP(Empoissonnement!C16*N(Aliments!$J$8),0)</f>
        <v>0</v>
      </c>
      <c r="I16" s="7">
        <f>ROUNDUP(Empoissonnement!C16*N(Aliments!$J$9),0)</f>
        <v>0</v>
      </c>
      <c r="J16" s="15">
        <f t="shared" si="0"/>
        <v>1140</v>
      </c>
      <c r="K16" s="15">
        <f>D16*N(Aliments!$C$4)+E16*N(Aliments!$C$5)+F16*N(Aliments!$C$6)+G16*N(Aliments!$C$7)+H16*N(Aliments!$C$8)+I16*N(Aliments!$C$9)</f>
        <v>17100</v>
      </c>
      <c r="L16" s="15">
        <f>(D16*N(Aliments!$D$4)+E16*N(Aliments!$D$5)+F16*N(Aliments!$D$6)+G16*N(Aliments!$D$7)+H16*N(Aliments!$D$8)+I16*N(Aliments!$D$9))*(1-Empoissonnement!$G16)</f>
        <v>17145600</v>
      </c>
      <c r="N16" s="13">
        <f>(D16*N(Aliments!$D$4)*N(Aliments!$F$4)+E16*N(Aliments!$D$5)*N(Aliments!$F$5)+F16*N(Aliments!$D$6)*N(Aliments!$F$6)+G16*N(Aliments!$D$7)*N(Aliments!$F$7)+H16*N(Aliments!$D$8)*N(Aliments!$F$8)+I16*N(Aliments!$D$9)*N(Aliments!$F$9))*(1-Empoissonnement!$G16)</f>
        <v>2461860</v>
      </c>
      <c r="O16" s="13">
        <f>(D16*N(Aliments!$D$4)*N(Aliments!$G$4)+E16*N(Aliments!$D$5)*N(Aliments!$G$5)+F16*N(Aliments!$D$6)*N(Aliments!$G$6)+G16*N(Aliments!$D$7)*N(Aliments!$G$7)+H16*N(Aliments!$D$8)*N(Aliments!$G$8)+I16*N(Aliments!$D$9)*N(Aliments!$G$9))*(1-Empoissonnement!$G16)</f>
        <v>8127240</v>
      </c>
      <c r="P16" s="13">
        <f>(D16*N(Aliments!$D$4)*N(Aliments!$H$4)+E16*N(Aliments!$D$5)*N(Aliments!$H$5)+F16*N(Aliments!$D$6)*N(Aliments!$H$6)+G16*N(Aliments!$D$7)*N(Aliments!$H$7)+H16*N(Aliments!$D$8)*N(Aliments!$H$8)+I16*N(Aliments!$D$9)*N(Aliments!$H$9))*(1-Empoissonnement!$G16)</f>
        <v>6556500</v>
      </c>
      <c r="Q16" s="56">
        <f>D16*N(Aliments!$C$4)*N(Aliments!$F$4)+E16*N(Aliments!$C$5)*N(Aliments!$F$5)+F16*N(Aliments!$C$6)*N(Aliments!$F$6)+G16*N(Aliments!$C$7)*N(Aliments!$F$7)+H16*N(Aliments!$C$8)*N(Aliments!$F$8)+I16*N(Aliments!$C$9)*N(Aliments!$F$9)</f>
        <v>2250</v>
      </c>
      <c r="R16" s="56">
        <f>D16*N(Aliments!$C$4)*N(Aliments!$G$4)+E16*N(Aliments!$C$5)*N(Aliments!$G$5)+F16*N(Aliments!$C$6)*N(Aliments!$G$6)+G16*N(Aliments!$C$7)*N(Aliments!$G$7)+H16*N(Aliments!$C$8)*N(Aliments!$G$8)+I16*N(Aliments!$C$9)*N(Aliments!$G$9)</f>
        <v>8100</v>
      </c>
      <c r="S16" s="56">
        <f>D16*N(Aliments!$C$4)*N(Aliments!$H$4)+E16*N(Aliments!$C$5)*N(Aliments!$H$5)+F16*N(Aliments!$C$6)*N(Aliments!$H$6)+G16*N(Aliments!$C$7)*N(Aliments!$H$7)+H16*N(Aliments!$C$8)*N(Aliments!$H$8)+I16*N(Aliments!$C$9)*N(Aliments!$H$9)</f>
        <v>6750</v>
      </c>
      <c r="T16" s="56">
        <f>IFERROR(Q16/INDEX('Besoins aliments'!$H$5:$H$25,MATCH(Empoissonnement!$B16,'Besoins aliments'!$A$5:$A$25,0))*INDEX(Dépenses!$B$31:$V$31,MATCH(Empoissonnement!$B16,Dépenses!$B$3:$V$3,0)),0)</f>
        <v>211184.21052631579</v>
      </c>
      <c r="U16" s="56">
        <f>IFERROR(R16/INDEX('Besoins aliments'!$H$5:$H$25,MATCH(EDATE(Empoissonnement!$B16,1),'Besoins aliments'!$A$5:$A$25,0))*INDEX(Dépenses!$B$31:$V$31,MATCH(EDATE(Empoissonnement!$B16,1),Dépenses!$B$3:$V$3,0)),0)</f>
        <v>760263.15789473685</v>
      </c>
      <c r="V16" s="56">
        <f>IFERROR(S16/INDEX('Besoins aliments'!$H$5:$H$25,MATCH(EDATE(Empoissonnement!$B16,2),'Besoins aliments'!$A$5:$A$25,0))*INDEX(Dépenses!$B$31:$V$31,MATCH(EDATE(Empoissonnement!$B16,2),Dépenses!$B$3:$V$3,0)),0)</f>
        <v>633552.63157894742</v>
      </c>
      <c r="W16" s="56">
        <f t="shared" si="1"/>
        <v>1605000</v>
      </c>
    </row>
    <row r="17" spans="1:23" x14ac:dyDescent="0.2">
      <c r="A17" s="21" t="str">
        <f>Empoissonnement!A17</f>
        <v>V14</v>
      </c>
      <c r="B17" s="19">
        <f>Empoissonnement!B17</f>
        <v>46631</v>
      </c>
      <c r="C17" s="22">
        <f>Empoissonnement!C17</f>
        <v>15</v>
      </c>
      <c r="D17" s="7">
        <f>ROUNDUP(Empoissonnement!C17*N(Aliments!$J$4),0)</f>
        <v>120</v>
      </c>
      <c r="E17" s="7">
        <f>ROUNDUP(Empoissonnement!C17*N(Aliments!$J$5),0)</f>
        <v>270</v>
      </c>
      <c r="F17" s="7">
        <f>ROUNDUP(Empoissonnement!C17*N(Aliments!$J$6),0)</f>
        <v>750</v>
      </c>
      <c r="G17" s="7">
        <f>ROUNDUP(Empoissonnement!C17*N(Aliments!$J$7),0)</f>
        <v>0</v>
      </c>
      <c r="H17" s="7">
        <f>ROUNDUP(Empoissonnement!C17*N(Aliments!$J$8),0)</f>
        <v>0</v>
      </c>
      <c r="I17" s="7">
        <f>ROUNDUP(Empoissonnement!C17*N(Aliments!$J$9),0)</f>
        <v>0</v>
      </c>
      <c r="J17" s="15">
        <f t="shared" si="0"/>
        <v>1140</v>
      </c>
      <c r="K17" s="15">
        <f>D17*N(Aliments!$C$4)+E17*N(Aliments!$C$5)+F17*N(Aliments!$C$6)+G17*N(Aliments!$C$7)+H17*N(Aliments!$C$8)+I17*N(Aliments!$C$9)</f>
        <v>17100</v>
      </c>
      <c r="L17" s="15">
        <f>(D17*N(Aliments!$D$4)+E17*N(Aliments!$D$5)+F17*N(Aliments!$D$6)+G17*N(Aliments!$D$7)+H17*N(Aliments!$D$8)+I17*N(Aliments!$D$9))*(1-Empoissonnement!$G17)</f>
        <v>17145600</v>
      </c>
      <c r="N17" s="13">
        <f>(D17*N(Aliments!$D$4)*N(Aliments!$F$4)+E17*N(Aliments!$D$5)*N(Aliments!$F$5)+F17*N(Aliments!$D$6)*N(Aliments!$F$6)+G17*N(Aliments!$D$7)*N(Aliments!$F$7)+H17*N(Aliments!$D$8)*N(Aliments!$F$8)+I17*N(Aliments!$D$9)*N(Aliments!$F$9))*(1-Empoissonnement!$G17)</f>
        <v>2461860</v>
      </c>
      <c r="O17" s="13">
        <f>(D17*N(Aliments!$D$4)*N(Aliments!$G$4)+E17*N(Aliments!$D$5)*N(Aliments!$G$5)+F17*N(Aliments!$D$6)*N(Aliments!$G$6)+G17*N(Aliments!$D$7)*N(Aliments!$G$7)+H17*N(Aliments!$D$8)*N(Aliments!$G$8)+I17*N(Aliments!$D$9)*N(Aliments!$G$9))*(1-Empoissonnement!$G17)</f>
        <v>8127240</v>
      </c>
      <c r="P17" s="13">
        <f>(D17*N(Aliments!$D$4)*N(Aliments!$H$4)+E17*N(Aliments!$D$5)*N(Aliments!$H$5)+F17*N(Aliments!$D$6)*N(Aliments!$H$6)+G17*N(Aliments!$D$7)*N(Aliments!$H$7)+H17*N(Aliments!$D$8)*N(Aliments!$H$8)+I17*N(Aliments!$D$9)*N(Aliments!$H$9))*(1-Empoissonnement!$G17)</f>
        <v>6556500</v>
      </c>
      <c r="Q17" s="56">
        <f>D17*N(Aliments!$C$4)*N(Aliments!$F$4)+E17*N(Aliments!$C$5)*N(Aliments!$F$5)+F17*N(Aliments!$C$6)*N(Aliments!$F$6)+G17*N(Aliments!$C$7)*N(Aliments!$F$7)+H17*N(Aliments!$C$8)*N(Aliments!$F$8)+I17*N(Aliments!$C$9)*N(Aliments!$F$9)</f>
        <v>2250</v>
      </c>
      <c r="R17" s="56">
        <f>D17*N(Aliments!$C$4)*N(Aliments!$G$4)+E17*N(Aliments!$C$5)*N(Aliments!$G$5)+F17*N(Aliments!$C$6)*N(Aliments!$G$6)+G17*N(Aliments!$C$7)*N(Aliments!$G$7)+H17*N(Aliments!$C$8)*N(Aliments!$G$8)+I17*N(Aliments!$C$9)*N(Aliments!$G$9)</f>
        <v>8100</v>
      </c>
      <c r="S17" s="56">
        <f>D17*N(Aliments!$C$4)*N(Aliments!$H$4)+E17*N(Aliments!$C$5)*N(Aliments!$H$5)+F17*N(Aliments!$C$6)*N(Aliments!$H$6)+G17*N(Aliments!$C$7)*N(Aliments!$H$7)+H17*N(Aliments!$C$8)*N(Aliments!$H$8)+I17*N(Aliments!$C$9)*N(Aliments!$H$9)</f>
        <v>6750</v>
      </c>
      <c r="T17" s="56">
        <f>IFERROR(Q17/INDEX('Besoins aliments'!$H$5:$H$25,MATCH(Empoissonnement!$B17,'Besoins aliments'!$A$5:$A$25,0))*INDEX(Dépenses!$B$31:$V$31,MATCH(Empoissonnement!$B17,Dépenses!$B$3:$V$3,0)),0)</f>
        <v>211184.21052631579</v>
      </c>
      <c r="U17" s="56">
        <f>IFERROR(R17/INDEX('Besoins aliments'!$H$5:$H$25,MATCH(EDATE(Empoissonnement!$B17,1),'Besoins aliments'!$A$5:$A$25,0))*INDEX(Dépenses!$B$31:$V$31,MATCH(EDATE(Empoissonnement!$B17,1),Dépenses!$B$3:$V$3,0)),0)</f>
        <v>760263.15789473685</v>
      </c>
      <c r="V17" s="56">
        <f>IFERROR(S17/INDEX('Besoins aliments'!$H$5:$H$25,MATCH(EDATE(Empoissonnement!$B17,2),'Besoins aliments'!$A$5:$A$25,0))*INDEX(Dépenses!$B$31:$V$31,MATCH(EDATE(Empoissonnement!$B17,2),Dépenses!$B$3:$V$3,0)),0)</f>
        <v>633552.63157894742</v>
      </c>
      <c r="W17" s="56">
        <f t="shared" si="1"/>
        <v>1605000</v>
      </c>
    </row>
    <row r="18" spans="1:23" x14ac:dyDescent="0.2">
      <c r="A18" s="21" t="str">
        <f>Empoissonnement!A18</f>
        <v>V15</v>
      </c>
      <c r="B18" s="19">
        <f>Empoissonnement!B18</f>
        <v>46661</v>
      </c>
      <c r="C18" s="22">
        <f>Empoissonnement!C18</f>
        <v>15</v>
      </c>
      <c r="D18" s="7">
        <f>ROUNDUP(Empoissonnement!C18*N(Aliments!$J$4),0)</f>
        <v>120</v>
      </c>
      <c r="E18" s="7">
        <f>ROUNDUP(Empoissonnement!C18*N(Aliments!$J$5),0)</f>
        <v>270</v>
      </c>
      <c r="F18" s="7">
        <f>ROUNDUP(Empoissonnement!C18*N(Aliments!$J$6),0)</f>
        <v>750</v>
      </c>
      <c r="G18" s="7">
        <f>ROUNDUP(Empoissonnement!C18*N(Aliments!$J$7),0)</f>
        <v>0</v>
      </c>
      <c r="H18" s="7">
        <f>ROUNDUP(Empoissonnement!C18*N(Aliments!$J$8),0)</f>
        <v>0</v>
      </c>
      <c r="I18" s="7">
        <f>ROUNDUP(Empoissonnement!C18*N(Aliments!$J$9),0)</f>
        <v>0</v>
      </c>
      <c r="J18" s="15">
        <f t="shared" si="0"/>
        <v>1140</v>
      </c>
      <c r="K18" s="15">
        <f>D18*N(Aliments!$C$4)+E18*N(Aliments!$C$5)+F18*N(Aliments!$C$6)+G18*N(Aliments!$C$7)+H18*N(Aliments!$C$8)+I18*N(Aliments!$C$9)</f>
        <v>17100</v>
      </c>
      <c r="L18" s="15">
        <f>(D18*N(Aliments!$D$4)+E18*N(Aliments!$D$5)+F18*N(Aliments!$D$6)+G18*N(Aliments!$D$7)+H18*N(Aliments!$D$8)+I18*N(Aliments!$D$9))*(1-Empoissonnement!$G18)</f>
        <v>17145600</v>
      </c>
      <c r="N18" s="13">
        <f>(D18*N(Aliments!$D$4)*N(Aliments!$F$4)+E18*N(Aliments!$D$5)*N(Aliments!$F$5)+F18*N(Aliments!$D$6)*N(Aliments!$F$6)+G18*N(Aliments!$D$7)*N(Aliments!$F$7)+H18*N(Aliments!$D$8)*N(Aliments!$F$8)+I18*N(Aliments!$D$9)*N(Aliments!$F$9))*(1-Empoissonnement!$G18)</f>
        <v>2461860</v>
      </c>
      <c r="O18" s="13">
        <f>(D18*N(Aliments!$D$4)*N(Aliments!$G$4)+E18*N(Aliments!$D$5)*N(Aliments!$G$5)+F18*N(Aliments!$D$6)*N(Aliments!$G$6)+G18*N(Aliments!$D$7)*N(Aliments!$G$7)+H18*N(Aliments!$D$8)*N(Aliments!$G$8)+I18*N(Aliments!$D$9)*N(Aliments!$G$9))*(1-Empoissonnement!$G18)</f>
        <v>8127240</v>
      </c>
      <c r="P18" s="13">
        <f>(D18*N(Aliments!$D$4)*N(Aliments!$H$4)+E18*N(Aliments!$D$5)*N(Aliments!$H$5)+F18*N(Aliments!$D$6)*N(Aliments!$H$6)+G18*N(Aliments!$D$7)*N(Aliments!$H$7)+H18*N(Aliments!$D$8)*N(Aliments!$H$8)+I18*N(Aliments!$D$9)*N(Aliments!$H$9))*(1-Empoissonnement!$G18)</f>
        <v>6556500</v>
      </c>
      <c r="Q18" s="56">
        <f>D18*N(Aliments!$C$4)*N(Aliments!$F$4)+E18*N(Aliments!$C$5)*N(Aliments!$F$5)+F18*N(Aliments!$C$6)*N(Aliments!$F$6)+G18*N(Aliments!$C$7)*N(Aliments!$F$7)+H18*N(Aliments!$C$8)*N(Aliments!$F$8)+I18*N(Aliments!$C$9)*N(Aliments!$F$9)</f>
        <v>2250</v>
      </c>
      <c r="R18" s="56">
        <f>D18*N(Aliments!$C$4)*N(Aliments!$G$4)+E18*N(Aliments!$C$5)*N(Aliments!$G$5)+F18*N(Aliments!$C$6)*N(Aliments!$G$6)+G18*N(Aliments!$C$7)*N(Aliments!$G$7)+H18*N(Aliments!$C$8)*N(Aliments!$G$8)+I18*N(Aliments!$C$9)*N(Aliments!$G$9)</f>
        <v>8100</v>
      </c>
      <c r="S18" s="56">
        <f>D18*N(Aliments!$C$4)*N(Aliments!$H$4)+E18*N(Aliments!$C$5)*N(Aliments!$H$5)+F18*N(Aliments!$C$6)*N(Aliments!$H$6)+G18*N(Aliments!$C$7)*N(Aliments!$H$7)+H18*N(Aliments!$C$8)*N(Aliments!$H$8)+I18*N(Aliments!$C$9)*N(Aliments!$H$9)</f>
        <v>6750</v>
      </c>
      <c r="T18" s="56">
        <f>IFERROR(Q18/INDEX('Besoins aliments'!$H$5:$H$25,MATCH(Empoissonnement!$B18,'Besoins aliments'!$A$5:$A$25,0))*INDEX(Dépenses!$B$31:$V$31,MATCH(Empoissonnement!$B18,Dépenses!$B$3:$V$3,0)),0)</f>
        <v>211184.21052631579</v>
      </c>
      <c r="U18" s="56">
        <f>IFERROR(R18/INDEX('Besoins aliments'!$H$5:$H$25,MATCH(EDATE(Empoissonnement!$B18,1),'Besoins aliments'!$A$5:$A$25,0))*INDEX(Dépenses!$B$31:$V$31,MATCH(EDATE(Empoissonnement!$B18,1),Dépenses!$B$3:$V$3,0)),0)</f>
        <v>760263.15789473685</v>
      </c>
      <c r="V18" s="56">
        <f>IFERROR(S18/INDEX('Besoins aliments'!$H$5:$H$25,MATCH(EDATE(Empoissonnement!$B18,2),'Besoins aliments'!$A$5:$A$25,0))*INDEX(Dépenses!$B$31:$V$31,MATCH(EDATE(Empoissonnement!$B18,2),Dépenses!$B$3:$V$3,0)),0)</f>
        <v>633552.63157894742</v>
      </c>
      <c r="W18" s="56">
        <f t="shared" si="1"/>
        <v>1605000</v>
      </c>
    </row>
    <row r="19" spans="1:23" x14ac:dyDescent="0.2">
      <c r="A19" s="21" t="str">
        <f>Empoissonnement!A19</f>
        <v>V16</v>
      </c>
      <c r="B19" s="19">
        <f>Empoissonnement!B19</f>
        <v>46692</v>
      </c>
      <c r="C19" s="22">
        <f>Empoissonnement!C19</f>
        <v>15</v>
      </c>
      <c r="D19" s="7">
        <f>ROUNDUP(Empoissonnement!C19*N(Aliments!$J$4),0)</f>
        <v>120</v>
      </c>
      <c r="E19" s="7">
        <f>ROUNDUP(Empoissonnement!C19*N(Aliments!$J$5),0)</f>
        <v>270</v>
      </c>
      <c r="F19" s="7">
        <f>ROUNDUP(Empoissonnement!C19*N(Aliments!$J$6),0)</f>
        <v>750</v>
      </c>
      <c r="G19" s="7">
        <f>ROUNDUP(Empoissonnement!C19*N(Aliments!$J$7),0)</f>
        <v>0</v>
      </c>
      <c r="H19" s="7">
        <f>ROUNDUP(Empoissonnement!C19*N(Aliments!$J$8),0)</f>
        <v>0</v>
      </c>
      <c r="I19" s="7">
        <f>ROUNDUP(Empoissonnement!C19*N(Aliments!$J$9),0)</f>
        <v>0</v>
      </c>
      <c r="J19" s="15">
        <f t="shared" si="0"/>
        <v>1140</v>
      </c>
      <c r="K19" s="15">
        <f>D19*N(Aliments!$C$4)+E19*N(Aliments!$C$5)+F19*N(Aliments!$C$6)+G19*N(Aliments!$C$7)+H19*N(Aliments!$C$8)+I19*N(Aliments!$C$9)</f>
        <v>17100</v>
      </c>
      <c r="L19" s="15">
        <f>(D19*N(Aliments!$D$4)+E19*N(Aliments!$D$5)+F19*N(Aliments!$D$6)+G19*N(Aliments!$D$7)+H19*N(Aliments!$D$8)+I19*N(Aliments!$D$9))*(1-Empoissonnement!$G19)</f>
        <v>17145600</v>
      </c>
      <c r="N19" s="13">
        <f>(D19*N(Aliments!$D$4)*N(Aliments!$F$4)+E19*N(Aliments!$D$5)*N(Aliments!$F$5)+F19*N(Aliments!$D$6)*N(Aliments!$F$6)+G19*N(Aliments!$D$7)*N(Aliments!$F$7)+H19*N(Aliments!$D$8)*N(Aliments!$F$8)+I19*N(Aliments!$D$9)*N(Aliments!$F$9))*(1-Empoissonnement!$G19)</f>
        <v>2461860</v>
      </c>
      <c r="O19" s="13">
        <f>(D19*N(Aliments!$D$4)*N(Aliments!$G$4)+E19*N(Aliments!$D$5)*N(Aliments!$G$5)+F19*N(Aliments!$D$6)*N(Aliments!$G$6)+G19*N(Aliments!$D$7)*N(Aliments!$G$7)+H19*N(Aliments!$D$8)*N(Aliments!$G$8)+I19*N(Aliments!$D$9)*N(Aliments!$G$9))*(1-Empoissonnement!$G19)</f>
        <v>8127240</v>
      </c>
      <c r="P19" s="13">
        <f>(D19*N(Aliments!$D$4)*N(Aliments!$H$4)+E19*N(Aliments!$D$5)*N(Aliments!$H$5)+F19*N(Aliments!$D$6)*N(Aliments!$H$6)+G19*N(Aliments!$D$7)*N(Aliments!$H$7)+H19*N(Aliments!$D$8)*N(Aliments!$H$8)+I19*N(Aliments!$D$9)*N(Aliments!$H$9))*(1-Empoissonnement!$G19)</f>
        <v>6556500</v>
      </c>
      <c r="Q19" s="56">
        <f>D19*N(Aliments!$C$4)*N(Aliments!$F$4)+E19*N(Aliments!$C$5)*N(Aliments!$F$5)+F19*N(Aliments!$C$6)*N(Aliments!$F$6)+G19*N(Aliments!$C$7)*N(Aliments!$F$7)+H19*N(Aliments!$C$8)*N(Aliments!$F$8)+I19*N(Aliments!$C$9)*N(Aliments!$F$9)</f>
        <v>2250</v>
      </c>
      <c r="R19" s="56">
        <f>D19*N(Aliments!$C$4)*N(Aliments!$G$4)+E19*N(Aliments!$C$5)*N(Aliments!$G$5)+F19*N(Aliments!$C$6)*N(Aliments!$G$6)+G19*N(Aliments!$C$7)*N(Aliments!$G$7)+H19*N(Aliments!$C$8)*N(Aliments!$G$8)+I19*N(Aliments!$C$9)*N(Aliments!$G$9)</f>
        <v>8100</v>
      </c>
      <c r="S19" s="56">
        <f>D19*N(Aliments!$C$4)*N(Aliments!$H$4)+E19*N(Aliments!$C$5)*N(Aliments!$H$5)+F19*N(Aliments!$C$6)*N(Aliments!$H$6)+G19*N(Aliments!$C$7)*N(Aliments!$H$7)+H19*N(Aliments!$C$8)*N(Aliments!$H$8)+I19*N(Aliments!$C$9)*N(Aliments!$H$9)</f>
        <v>6750</v>
      </c>
      <c r="T19" s="56">
        <f>IFERROR(Q19/INDEX('Besoins aliments'!$H$5:$H$25,MATCH(Empoissonnement!$B19,'Besoins aliments'!$A$5:$A$25,0))*INDEX(Dépenses!$B$31:$V$31,MATCH(Empoissonnement!$B19,Dépenses!$B$3:$V$3,0)),0)</f>
        <v>211184.21052631579</v>
      </c>
      <c r="U19" s="56">
        <f>IFERROR(R19/INDEX('Besoins aliments'!$H$5:$H$25,MATCH(EDATE(Empoissonnement!$B19,1),'Besoins aliments'!$A$5:$A$25,0))*INDEX(Dépenses!$B$31:$V$31,MATCH(EDATE(Empoissonnement!$B19,1),Dépenses!$B$3:$V$3,0)),0)</f>
        <v>760263.15789473685</v>
      </c>
      <c r="V19" s="56">
        <f>IFERROR(S19/INDEX('Besoins aliments'!$H$5:$H$25,MATCH(EDATE(Empoissonnement!$B19,2),'Besoins aliments'!$A$5:$A$25,0))*INDEX(Dépenses!$B$31:$V$31,MATCH(EDATE(Empoissonnement!$B19,2),Dépenses!$B$3:$V$3,0)),0)</f>
        <v>633552.63157894742</v>
      </c>
      <c r="W19" s="56">
        <f t="shared" si="1"/>
        <v>1605000</v>
      </c>
    </row>
    <row r="20" spans="1:23" x14ac:dyDescent="0.2">
      <c r="A20" s="21" t="str">
        <f>Empoissonnement!A20</f>
        <v>V17</v>
      </c>
      <c r="B20" s="19">
        <f>Empoissonnement!B20</f>
        <v>46722</v>
      </c>
      <c r="C20" s="22">
        <f>Empoissonnement!C20</f>
        <v>15</v>
      </c>
      <c r="D20" s="7">
        <f>ROUNDUP(Empoissonnement!C20*N(Aliments!$J$4),0)</f>
        <v>120</v>
      </c>
      <c r="E20" s="7">
        <f>ROUNDUP(Empoissonnement!C20*N(Aliments!$J$5),0)</f>
        <v>270</v>
      </c>
      <c r="F20" s="7">
        <f>ROUNDUP(Empoissonnement!C20*N(Aliments!$J$6),0)</f>
        <v>750</v>
      </c>
      <c r="G20" s="7">
        <f>ROUNDUP(Empoissonnement!C20*N(Aliments!$J$7),0)</f>
        <v>0</v>
      </c>
      <c r="H20" s="7">
        <f>ROUNDUP(Empoissonnement!C20*N(Aliments!$J$8),0)</f>
        <v>0</v>
      </c>
      <c r="I20" s="7">
        <f>ROUNDUP(Empoissonnement!C20*N(Aliments!$J$9),0)</f>
        <v>0</v>
      </c>
      <c r="J20" s="15">
        <f t="shared" si="0"/>
        <v>1140</v>
      </c>
      <c r="K20" s="15">
        <f>D20*N(Aliments!$C$4)+E20*N(Aliments!$C$5)+F20*N(Aliments!$C$6)+G20*N(Aliments!$C$7)+H20*N(Aliments!$C$8)+I20*N(Aliments!$C$9)</f>
        <v>17100</v>
      </c>
      <c r="L20" s="15">
        <f>(D20*N(Aliments!$D$4)+E20*N(Aliments!$D$5)+F20*N(Aliments!$D$6)+G20*N(Aliments!$D$7)+H20*N(Aliments!$D$8)+I20*N(Aliments!$D$9))*(1-Empoissonnement!$G20)</f>
        <v>17145600</v>
      </c>
      <c r="N20" s="13">
        <f>(D20*N(Aliments!$D$4)*N(Aliments!$F$4)+E20*N(Aliments!$D$5)*N(Aliments!$F$5)+F20*N(Aliments!$D$6)*N(Aliments!$F$6)+G20*N(Aliments!$D$7)*N(Aliments!$F$7)+H20*N(Aliments!$D$8)*N(Aliments!$F$8)+I20*N(Aliments!$D$9)*N(Aliments!$F$9))*(1-Empoissonnement!$G20)</f>
        <v>2461860</v>
      </c>
      <c r="O20" s="13">
        <f>(D20*N(Aliments!$D$4)*N(Aliments!$G$4)+E20*N(Aliments!$D$5)*N(Aliments!$G$5)+F20*N(Aliments!$D$6)*N(Aliments!$G$6)+G20*N(Aliments!$D$7)*N(Aliments!$G$7)+H20*N(Aliments!$D$8)*N(Aliments!$G$8)+I20*N(Aliments!$D$9)*N(Aliments!$G$9))*(1-Empoissonnement!$G20)</f>
        <v>8127240</v>
      </c>
      <c r="P20" s="13">
        <f>(D20*N(Aliments!$D$4)*N(Aliments!$H$4)+E20*N(Aliments!$D$5)*N(Aliments!$H$5)+F20*N(Aliments!$D$6)*N(Aliments!$H$6)+G20*N(Aliments!$D$7)*N(Aliments!$H$7)+H20*N(Aliments!$D$8)*N(Aliments!$H$8)+I20*N(Aliments!$D$9)*N(Aliments!$H$9))*(1-Empoissonnement!$G20)</f>
        <v>6556500</v>
      </c>
      <c r="Q20" s="56">
        <f>D20*N(Aliments!$C$4)*N(Aliments!$F$4)+E20*N(Aliments!$C$5)*N(Aliments!$F$5)+F20*N(Aliments!$C$6)*N(Aliments!$F$6)+G20*N(Aliments!$C$7)*N(Aliments!$F$7)+H20*N(Aliments!$C$8)*N(Aliments!$F$8)+I20*N(Aliments!$C$9)*N(Aliments!$F$9)</f>
        <v>2250</v>
      </c>
      <c r="R20" s="56">
        <f>D20*N(Aliments!$C$4)*N(Aliments!$G$4)+E20*N(Aliments!$C$5)*N(Aliments!$G$5)+F20*N(Aliments!$C$6)*N(Aliments!$G$6)+G20*N(Aliments!$C$7)*N(Aliments!$G$7)+H20*N(Aliments!$C$8)*N(Aliments!$G$8)+I20*N(Aliments!$C$9)*N(Aliments!$G$9)</f>
        <v>8100</v>
      </c>
      <c r="S20" s="56">
        <f>D20*N(Aliments!$C$4)*N(Aliments!$H$4)+E20*N(Aliments!$C$5)*N(Aliments!$H$5)+F20*N(Aliments!$C$6)*N(Aliments!$H$6)+G20*N(Aliments!$C$7)*N(Aliments!$H$7)+H20*N(Aliments!$C$8)*N(Aliments!$H$8)+I20*N(Aliments!$C$9)*N(Aliments!$H$9)</f>
        <v>6750</v>
      </c>
      <c r="T20" s="56">
        <f>IFERROR(Q20/INDEX('Besoins aliments'!$H$5:$H$25,MATCH(Empoissonnement!$B20,'Besoins aliments'!$A$5:$A$25,0))*INDEX(Dépenses!$B$31:$V$31,MATCH(Empoissonnement!$B20,Dépenses!$B$3:$V$3,0)),0)</f>
        <v>211184.21052631579</v>
      </c>
      <c r="U20" s="56">
        <f>IFERROR(R20/INDEX('Besoins aliments'!$H$5:$H$25,MATCH(EDATE(Empoissonnement!$B20,1),'Besoins aliments'!$A$5:$A$25,0))*INDEX(Dépenses!$B$31:$V$31,MATCH(EDATE(Empoissonnement!$B20,1),Dépenses!$B$3:$V$3,0)),0)</f>
        <v>760263.15789473685</v>
      </c>
      <c r="V20" s="56">
        <f>IFERROR(S20/INDEX('Besoins aliments'!$H$5:$H$25,MATCH(EDATE(Empoissonnement!$B20,2),'Besoins aliments'!$A$5:$A$25,0))*INDEX(Dépenses!$B$31:$V$31,MATCH(EDATE(Empoissonnement!$B20,2),Dépenses!$B$3:$V$3,0)),0)</f>
        <v>633552.63157894742</v>
      </c>
      <c r="W20" s="56">
        <f t="shared" si="1"/>
        <v>1605000</v>
      </c>
    </row>
    <row r="21" spans="1:23" x14ac:dyDescent="0.2">
      <c r="A21" s="21" t="str">
        <f>Empoissonnement!A21</f>
        <v>V18</v>
      </c>
      <c r="B21" s="19">
        <f>Empoissonnement!B21</f>
        <v>46753</v>
      </c>
      <c r="C21" s="22">
        <f>Empoissonnement!C21</f>
        <v>15</v>
      </c>
      <c r="D21" s="7">
        <f>ROUNDUP(Empoissonnement!C21*N(Aliments!$J$4),0)</f>
        <v>120</v>
      </c>
      <c r="E21" s="7">
        <f>ROUNDUP(Empoissonnement!C21*N(Aliments!$J$5),0)</f>
        <v>270</v>
      </c>
      <c r="F21" s="7">
        <f>ROUNDUP(Empoissonnement!C21*N(Aliments!$J$6),0)</f>
        <v>750</v>
      </c>
      <c r="G21" s="7">
        <f>ROUNDUP(Empoissonnement!C21*N(Aliments!$J$7),0)</f>
        <v>0</v>
      </c>
      <c r="H21" s="7">
        <f>ROUNDUP(Empoissonnement!C21*N(Aliments!$J$8),0)</f>
        <v>0</v>
      </c>
      <c r="I21" s="7">
        <f>ROUNDUP(Empoissonnement!C21*N(Aliments!$J$9),0)</f>
        <v>0</v>
      </c>
      <c r="J21" s="15">
        <f t="shared" si="0"/>
        <v>1140</v>
      </c>
      <c r="K21" s="15">
        <f>D21*N(Aliments!$C$4)+E21*N(Aliments!$C$5)+F21*N(Aliments!$C$6)+G21*N(Aliments!$C$7)+H21*N(Aliments!$C$8)+I21*N(Aliments!$C$9)</f>
        <v>17100</v>
      </c>
      <c r="L21" s="15">
        <f>(D21*N(Aliments!$D$4)+E21*N(Aliments!$D$5)+F21*N(Aliments!$D$6)+G21*N(Aliments!$D$7)+H21*N(Aliments!$D$8)+I21*N(Aliments!$D$9))*(1-Empoissonnement!$G21)</f>
        <v>17145600</v>
      </c>
      <c r="N21" s="13">
        <f>(D21*N(Aliments!$D$4)*N(Aliments!$F$4)+E21*N(Aliments!$D$5)*N(Aliments!$F$5)+F21*N(Aliments!$D$6)*N(Aliments!$F$6)+G21*N(Aliments!$D$7)*N(Aliments!$F$7)+H21*N(Aliments!$D$8)*N(Aliments!$F$8)+I21*N(Aliments!$D$9)*N(Aliments!$F$9))*(1-Empoissonnement!$G21)</f>
        <v>2461860</v>
      </c>
      <c r="O21" s="13">
        <f>(D21*N(Aliments!$D$4)*N(Aliments!$G$4)+E21*N(Aliments!$D$5)*N(Aliments!$G$5)+F21*N(Aliments!$D$6)*N(Aliments!$G$6)+G21*N(Aliments!$D$7)*N(Aliments!$G$7)+H21*N(Aliments!$D$8)*N(Aliments!$G$8)+I21*N(Aliments!$D$9)*N(Aliments!$G$9))*(1-Empoissonnement!$G21)</f>
        <v>8127240</v>
      </c>
      <c r="P21" s="13">
        <f>(D21*N(Aliments!$D$4)*N(Aliments!$H$4)+E21*N(Aliments!$D$5)*N(Aliments!$H$5)+F21*N(Aliments!$D$6)*N(Aliments!$H$6)+G21*N(Aliments!$D$7)*N(Aliments!$H$7)+H21*N(Aliments!$D$8)*N(Aliments!$H$8)+I21*N(Aliments!$D$9)*N(Aliments!$H$9))*(1-Empoissonnement!$G21)</f>
        <v>6556500</v>
      </c>
      <c r="Q21" s="56">
        <f>D21*N(Aliments!$C$4)*N(Aliments!$F$4)+E21*N(Aliments!$C$5)*N(Aliments!$F$5)+F21*N(Aliments!$C$6)*N(Aliments!$F$6)+G21*N(Aliments!$C$7)*N(Aliments!$F$7)+H21*N(Aliments!$C$8)*N(Aliments!$F$8)+I21*N(Aliments!$C$9)*N(Aliments!$F$9)</f>
        <v>2250</v>
      </c>
      <c r="R21" s="56">
        <f>D21*N(Aliments!$C$4)*N(Aliments!$G$4)+E21*N(Aliments!$C$5)*N(Aliments!$G$5)+F21*N(Aliments!$C$6)*N(Aliments!$G$6)+G21*N(Aliments!$C$7)*N(Aliments!$G$7)+H21*N(Aliments!$C$8)*N(Aliments!$G$8)+I21*N(Aliments!$C$9)*N(Aliments!$G$9)</f>
        <v>8100</v>
      </c>
      <c r="S21" s="56">
        <f>D21*N(Aliments!$C$4)*N(Aliments!$H$4)+E21*N(Aliments!$C$5)*N(Aliments!$H$5)+F21*N(Aliments!$C$6)*N(Aliments!$H$6)+G21*N(Aliments!$C$7)*N(Aliments!$H$7)+H21*N(Aliments!$C$8)*N(Aliments!$H$8)+I21*N(Aliments!$C$9)*N(Aliments!$H$9)</f>
        <v>6750</v>
      </c>
      <c r="T21" s="56">
        <f>IFERROR(Q21/INDEX('Besoins aliments'!$H$5:$H$25,MATCH(Empoissonnement!$B21,'Besoins aliments'!$A$5:$A$25,0))*INDEX(Dépenses!$B$31:$V$31,MATCH(Empoissonnement!$B21,Dépenses!$B$3:$V$3,0)),0)</f>
        <v>211184.21052631579</v>
      </c>
      <c r="U21" s="56">
        <f>IFERROR(R21/INDEX('Besoins aliments'!$H$5:$H$25,MATCH(EDATE(Empoissonnement!$B21,1),'Besoins aliments'!$A$5:$A$25,0))*INDEX(Dépenses!$B$31:$V$31,MATCH(EDATE(Empoissonnement!$B21,1),Dépenses!$B$3:$V$3,0)),0)</f>
        <v>760263.15789473685</v>
      </c>
      <c r="V21" s="56">
        <f>IFERROR(S21/INDEX('Besoins aliments'!$H$5:$H$25,MATCH(EDATE(Empoissonnement!$B21,2),'Besoins aliments'!$A$5:$A$25,0))*INDEX(Dépenses!$B$31:$V$31,MATCH(EDATE(Empoissonnement!$B21,2),Dépenses!$B$3:$V$3,0)),0)</f>
        <v>675000</v>
      </c>
      <c r="W21" s="56">
        <f t="shared" si="1"/>
        <v>1646447.3684210526</v>
      </c>
    </row>
    <row r="22" spans="1:23" x14ac:dyDescent="0.2">
      <c r="A22" s="21" t="str">
        <f>Empoissonnement!A22</f>
        <v>V19</v>
      </c>
      <c r="B22" s="19">
        <f>Empoissonnement!B22</f>
        <v>46784</v>
      </c>
      <c r="C22" s="22">
        <f>Empoissonnement!C22</f>
        <v>15</v>
      </c>
      <c r="D22" s="7">
        <f>ROUNDUP(Empoissonnement!C22*N(Aliments!$J$4),0)</f>
        <v>120</v>
      </c>
      <c r="E22" s="7">
        <f>ROUNDUP(Empoissonnement!C22*N(Aliments!$J$5),0)</f>
        <v>270</v>
      </c>
      <c r="F22" s="7">
        <f>ROUNDUP(Empoissonnement!C22*N(Aliments!$J$6),0)</f>
        <v>750</v>
      </c>
      <c r="G22" s="7">
        <f>ROUNDUP(Empoissonnement!C22*N(Aliments!$J$7),0)</f>
        <v>0</v>
      </c>
      <c r="H22" s="7">
        <f>ROUNDUP(Empoissonnement!C22*N(Aliments!$J$8),0)</f>
        <v>0</v>
      </c>
      <c r="I22" s="7">
        <f>ROUNDUP(Empoissonnement!C22*N(Aliments!$J$9),0)</f>
        <v>0</v>
      </c>
      <c r="J22" s="15">
        <f t="shared" si="0"/>
        <v>1140</v>
      </c>
      <c r="K22" s="15">
        <f>D22*N(Aliments!$C$4)+E22*N(Aliments!$C$5)+F22*N(Aliments!$C$6)+G22*N(Aliments!$C$7)+H22*N(Aliments!$C$8)+I22*N(Aliments!$C$9)</f>
        <v>17100</v>
      </c>
      <c r="L22" s="15">
        <f>(D22*N(Aliments!$D$4)+E22*N(Aliments!$D$5)+F22*N(Aliments!$D$6)+G22*N(Aliments!$D$7)+H22*N(Aliments!$D$8)+I22*N(Aliments!$D$9))*(1-Empoissonnement!$G22)</f>
        <v>17145600</v>
      </c>
      <c r="N22" s="13">
        <f>(D22*N(Aliments!$D$4)*N(Aliments!$F$4)+E22*N(Aliments!$D$5)*N(Aliments!$F$5)+F22*N(Aliments!$D$6)*N(Aliments!$F$6)+G22*N(Aliments!$D$7)*N(Aliments!$F$7)+H22*N(Aliments!$D$8)*N(Aliments!$F$8)+I22*N(Aliments!$D$9)*N(Aliments!$F$9))*(1-Empoissonnement!$G22)</f>
        <v>2461860</v>
      </c>
      <c r="O22" s="13">
        <f>(D22*N(Aliments!$D$4)*N(Aliments!$G$4)+E22*N(Aliments!$D$5)*N(Aliments!$G$5)+F22*N(Aliments!$D$6)*N(Aliments!$G$6)+G22*N(Aliments!$D$7)*N(Aliments!$G$7)+H22*N(Aliments!$D$8)*N(Aliments!$G$8)+I22*N(Aliments!$D$9)*N(Aliments!$G$9))*(1-Empoissonnement!$G22)</f>
        <v>8127240</v>
      </c>
      <c r="P22" s="13">
        <f>(D22*N(Aliments!$D$4)*N(Aliments!$H$4)+E22*N(Aliments!$D$5)*N(Aliments!$H$5)+F22*N(Aliments!$D$6)*N(Aliments!$H$6)+G22*N(Aliments!$D$7)*N(Aliments!$H$7)+H22*N(Aliments!$D$8)*N(Aliments!$H$8)+I22*N(Aliments!$D$9)*N(Aliments!$H$9))*(1-Empoissonnement!$G22)</f>
        <v>6556500</v>
      </c>
      <c r="Q22" s="56">
        <f>D22*N(Aliments!$C$4)*N(Aliments!$F$4)+E22*N(Aliments!$C$5)*N(Aliments!$F$5)+F22*N(Aliments!$C$6)*N(Aliments!$F$6)+G22*N(Aliments!$C$7)*N(Aliments!$F$7)+H22*N(Aliments!$C$8)*N(Aliments!$F$8)+I22*N(Aliments!$C$9)*N(Aliments!$F$9)</f>
        <v>2250</v>
      </c>
      <c r="R22" s="56">
        <f>D22*N(Aliments!$C$4)*N(Aliments!$G$4)+E22*N(Aliments!$C$5)*N(Aliments!$G$5)+F22*N(Aliments!$C$6)*N(Aliments!$G$6)+G22*N(Aliments!$C$7)*N(Aliments!$G$7)+H22*N(Aliments!$C$8)*N(Aliments!$G$8)+I22*N(Aliments!$C$9)*N(Aliments!$G$9)</f>
        <v>8100</v>
      </c>
      <c r="S22" s="56">
        <f>D22*N(Aliments!$C$4)*N(Aliments!$H$4)+E22*N(Aliments!$C$5)*N(Aliments!$H$5)+F22*N(Aliments!$C$6)*N(Aliments!$H$6)+G22*N(Aliments!$C$7)*N(Aliments!$H$7)+H22*N(Aliments!$C$8)*N(Aliments!$H$8)+I22*N(Aliments!$C$9)*N(Aliments!$H$9)</f>
        <v>6750</v>
      </c>
      <c r="T22" s="56">
        <f>IFERROR(Q22/INDEX('Besoins aliments'!$H$5:$H$25,MATCH(Empoissonnement!$B22,'Besoins aliments'!$A$5:$A$25,0))*INDEX(Dépenses!$B$31:$V$31,MATCH(Empoissonnement!$B22,Dépenses!$B$3:$V$3,0)),0)</f>
        <v>211184.21052631579</v>
      </c>
      <c r="U22" s="56">
        <f>IFERROR(R22/INDEX('Besoins aliments'!$H$5:$H$25,MATCH(EDATE(Empoissonnement!$B22,1),'Besoins aliments'!$A$5:$A$25,0))*INDEX(Dépenses!$B$31:$V$31,MATCH(EDATE(Empoissonnement!$B22,1),Dépenses!$B$3:$V$3,0)),0)</f>
        <v>809999.99999999988</v>
      </c>
      <c r="V22" s="56">
        <f>IFERROR(S22/INDEX('Besoins aliments'!$H$5:$H$25,MATCH(EDATE(Empoissonnement!$B22,2),'Besoins aliments'!$A$5:$A$25,0))*INDEX(Dépenses!$B$31:$V$31,MATCH(EDATE(Empoissonnement!$B22,2),Dépenses!$B$3:$V$3,0)),0)</f>
        <v>1350000</v>
      </c>
      <c r="W22" s="56">
        <f t="shared" si="1"/>
        <v>2371184.2105263155</v>
      </c>
    </row>
    <row r="23" spans="1:23" x14ac:dyDescent="0.2">
      <c r="A23" s="14" t="s">
        <v>89</v>
      </c>
      <c r="D23" s="15">
        <f t="shared" ref="D23:L23" si="2">SUM(D4:D22)</f>
        <v>1928</v>
      </c>
      <c r="E23" s="15">
        <f t="shared" si="2"/>
        <v>4338</v>
      </c>
      <c r="F23" s="15">
        <f t="shared" si="2"/>
        <v>12050</v>
      </c>
      <c r="G23" s="15">
        <f t="shared" si="2"/>
        <v>0</v>
      </c>
      <c r="H23" s="15">
        <f t="shared" si="2"/>
        <v>0</v>
      </c>
      <c r="I23" s="15">
        <f t="shared" si="2"/>
        <v>0</v>
      </c>
      <c r="J23" s="15">
        <f t="shared" si="2"/>
        <v>18316</v>
      </c>
      <c r="K23" s="15">
        <f t="shared" si="2"/>
        <v>274740</v>
      </c>
      <c r="L23" s="15">
        <f t="shared" si="2"/>
        <v>277369600</v>
      </c>
      <c r="N23" s="15">
        <f>SUM(N4:N22)</f>
        <v>39826260</v>
      </c>
      <c r="O23" s="15">
        <f>SUM(O4:O22)</f>
        <v>131476840</v>
      </c>
      <c r="P23" s="15">
        <f>SUM(P4:P22)</f>
        <v>106066500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6"/>
  <sheetViews>
    <sheetView zoomScale="120" zoomScaleNormal="120" workbookViewId="0">
      <pane xSplit="1" ySplit="4" topLeftCell="B5" activePane="bottomRight" state="frozen"/>
      <selection pane="topRight" activeCell="B1" sqref="B1"/>
      <selection pane="bottomLeft" activeCell="A5" sqref="A5"/>
      <selection pane="bottomRight" activeCell="J5" sqref="J5"/>
    </sheetView>
  </sheetViews>
  <sheetFormatPr baseColWidth="10" defaultColWidth="8.6640625" defaultRowHeight="15" x14ac:dyDescent="0.2"/>
  <cols>
    <col min="1" max="1" width="39.83203125" customWidth="1"/>
    <col min="2" max="7" width="11" customWidth="1"/>
    <col min="8" max="8" width="12" customWidth="1"/>
    <col min="9" max="14" width="11" customWidth="1"/>
    <col min="15" max="15" width="17" customWidth="1"/>
    <col min="17" max="18" width="13" hidden="1" customWidth="1"/>
  </cols>
  <sheetData>
    <row r="1" spans="1:18" ht="18" x14ac:dyDescent="0.2">
      <c r="A1" s="2" t="s">
        <v>96</v>
      </c>
    </row>
    <row r="2" spans="1:18" x14ac:dyDescent="0.2">
      <c r="A2" s="3" t="s">
        <v>97</v>
      </c>
    </row>
    <row r="3" spans="1:18" ht="15" customHeight="1" x14ac:dyDescent="0.2">
      <c r="A3" s="1"/>
      <c r="B3" s="76" t="s">
        <v>98</v>
      </c>
      <c r="C3" s="76"/>
      <c r="D3" s="76"/>
      <c r="E3" s="76"/>
      <c r="F3" s="76"/>
      <c r="G3" s="76"/>
      <c r="H3" s="76"/>
      <c r="I3" s="76" t="s">
        <v>99</v>
      </c>
      <c r="J3" s="76"/>
      <c r="K3" s="76"/>
      <c r="L3" s="76"/>
      <c r="M3" s="76"/>
      <c r="N3" s="76"/>
      <c r="O3" s="1"/>
    </row>
    <row r="4" spans="1:18" ht="28" x14ac:dyDescent="0.2">
      <c r="A4" s="1" t="s">
        <v>100</v>
      </c>
      <c r="B4" s="1" t="str">
        <f>Aliments!$A$4</f>
        <v>2 mm</v>
      </c>
      <c r="C4" s="1" t="str">
        <f>Aliments!$A$5</f>
        <v>3 mm</v>
      </c>
      <c r="D4" s="1" t="str">
        <f>Aliments!$A$6</f>
        <v>4 mm</v>
      </c>
      <c r="E4" s="1">
        <f>Aliments!$A$7</f>
        <v>0</v>
      </c>
      <c r="F4" s="1">
        <f>Aliments!$A$8</f>
        <v>0</v>
      </c>
      <c r="G4" s="1">
        <f>Aliments!$A$9</f>
        <v>0</v>
      </c>
      <c r="H4" s="1" t="s">
        <v>101</v>
      </c>
      <c r="I4" s="1" t="str">
        <f>Aliments!$A$4</f>
        <v>2 mm</v>
      </c>
      <c r="J4" s="1" t="str">
        <f>Aliments!$A$5</f>
        <v>3 mm</v>
      </c>
      <c r="K4" s="1" t="str">
        <f>Aliments!$A$6</f>
        <v>4 mm</v>
      </c>
      <c r="L4" s="1">
        <f>Aliments!$A$7</f>
        <v>0</v>
      </c>
      <c r="M4" s="1">
        <f>Aliments!$A$8</f>
        <v>0</v>
      </c>
      <c r="N4" s="1">
        <f>Aliments!$A$9</f>
        <v>0</v>
      </c>
      <c r="O4" s="1" t="s">
        <v>102</v>
      </c>
    </row>
    <row r="5" spans="1:18" x14ac:dyDescent="0.2">
      <c r="A5" s="23">
        <v>46235</v>
      </c>
      <c r="B5" s="13">
        <f>N(Aliments!$C$4)*(N(Aliments!$F$4)*SUMIFS('Aliment par vague'!$D$4:$D$22,Empoissonnement!$B$4:$B$22,$A5)+N(Aliments!$G$4)*SUMIFS('Aliment par vague'!$D$4:$D$22,Empoissonnement!$B$4:$B$22,$Q5)+N(Aliments!$H$4)*SUMIFS('Aliment par vague'!$D$4:$D$22,Empoissonnement!$B$4:$B$22,$R5))</f>
        <v>384</v>
      </c>
      <c r="C5" s="13">
        <f>N(Aliments!$C$5)*(N(Aliments!$F$5)*SUMIFS('Aliment par vague'!$E$4:$E$22,Empoissonnement!$B$4:$B$22,$A5)+N(Aliments!$G$5)*SUMIFS('Aliment par vague'!$E$4:$E$22,Empoissonnement!$B$4:$B$22,$Q5)+N(Aliments!$H$5)*SUMIFS('Aliment par vague'!$E$4:$E$22,Empoissonnement!$B$4:$B$22,$R5))</f>
        <v>216</v>
      </c>
      <c r="D5" s="13">
        <f>N(Aliments!$C$6)*(N(Aliments!$F$6)*SUMIFS('Aliment par vague'!$F$4:$F$22,Empoissonnement!$B$4:$B$22,$A5)+N(Aliments!$G$6)*SUMIFS('Aliment par vague'!$F$4:$F$22,Empoissonnement!$B$4:$B$22,$Q5)+N(Aliments!$H$6)*SUMIFS('Aliment par vague'!$F$4:$F$22,Empoissonnement!$B$4:$B$22,$R5))</f>
        <v>0</v>
      </c>
      <c r="E5" s="13">
        <f>N(Aliments!$C$7)*(N(Aliments!$F$7)*SUMIFS('Aliment par vague'!$G$4:$G$22,Empoissonnement!$B$4:$B$22,$A5)+N(Aliments!$G$7)*SUMIFS('Aliment par vague'!$G$4:$G$22,Empoissonnement!$B$4:$B$22,$Q5)+N(Aliments!$H$7)*SUMIFS('Aliment par vague'!$G$4:$G$22,Empoissonnement!$B$4:$B$22,$R5))</f>
        <v>0</v>
      </c>
      <c r="F5" s="13">
        <f>N(Aliments!$C$8)*(N(Aliments!$F$8)*SUMIFS('Aliment par vague'!$H$4:$H$22,Empoissonnement!$B$4:$B$22,$A5)+N(Aliments!$G$8)*SUMIFS('Aliment par vague'!$H$4:$H$22,Empoissonnement!$B$4:$B$22,$Q5)+N(Aliments!$H$8)*SUMIFS('Aliment par vague'!$H$4:$H$22,Empoissonnement!$B$4:$B$22,$R5))</f>
        <v>0</v>
      </c>
      <c r="G5" s="13">
        <f>N(Aliments!$C$9)*(N(Aliments!$F$9)*SUMIFS('Aliment par vague'!$I$4:$I$22,Empoissonnement!$B$4:$B$22,$A5)+N(Aliments!$G$9)*SUMIFS('Aliment par vague'!$I$4:$I$22,Empoissonnement!$B$4:$B$22,$Q5)+N(Aliments!$H$9)*SUMIFS('Aliment par vague'!$I$4:$I$22,Empoissonnement!$B$4:$B$22,$R5))</f>
        <v>0</v>
      </c>
      <c r="H5" s="15">
        <f t="shared" ref="H5:H21" si="0">SUM(B5:G5)</f>
        <v>600</v>
      </c>
      <c r="I5" s="13">
        <f>IF(Aliments!$C$4=0,0,IF(Aliments!$C$4="",0,ROUNDUP(B5/Aliments!$C$4,0)))</f>
        <v>26</v>
      </c>
      <c r="J5" s="13">
        <f>IF(Aliments!$C$5=0,0,IF(Aliments!$C$5="",0,ROUNDUP(C5/Aliments!$C$5,0)))</f>
        <v>15</v>
      </c>
      <c r="K5" s="13">
        <f>IF(Aliments!$C$6=0,0,IF(Aliments!$C$6="",0,ROUNDUP(D5/Aliments!$C$6,0)))</f>
        <v>0</v>
      </c>
      <c r="L5" s="13">
        <f>IF(Aliments!$C$7=0,0,IF(Aliments!$C$7="",0,ROUNDUP(E5/Aliments!$C$7,0)))</f>
        <v>0</v>
      </c>
      <c r="M5" s="13">
        <f>IF(Aliments!$C$8=0,0,IF(Aliments!$C$8="",0,ROUNDUP(F5/Aliments!$C$8,0)))</f>
        <v>0</v>
      </c>
      <c r="N5" s="13">
        <f>IF(Aliments!$C$9=0,0,IF(Aliments!$C$9="",0,ROUNDUP(G5/Aliments!$C$9,0)))</f>
        <v>0</v>
      </c>
      <c r="O5" s="13">
        <f>B5*Aliments!$E$4+C5*Aliments!$E$5+D5*Aliments!$E$6+E5*Aliments!$E$7+F5*Aliments!$E$8+G5*Aliments!$E$9</f>
        <v>698400</v>
      </c>
      <c r="Q5" s="24">
        <f t="shared" ref="Q5:Q25" si="1">EDATE($A5,-1)</f>
        <v>46204</v>
      </c>
      <c r="R5" s="24">
        <f t="shared" ref="R5:R25" si="2">EDATE($A5,-2)</f>
        <v>46174</v>
      </c>
    </row>
    <row r="6" spans="1:18" x14ac:dyDescent="0.2">
      <c r="A6" s="23">
        <v>46266</v>
      </c>
      <c r="B6" s="13">
        <f>N(Aliments!$C$4)*(N(Aliments!$F$4)*SUMIFS('Aliment par vague'!$D$4:$D$22,Empoissonnement!$B$4:$B$22,$A6)+N(Aliments!$G$4)*SUMIFS('Aliment par vague'!$D$4:$D$22,Empoissonnement!$B$4:$B$22,$Q6)+N(Aliments!$H$4)*SUMIFS('Aliment par vague'!$D$4:$D$22,Empoissonnement!$B$4:$B$22,$R6))</f>
        <v>480</v>
      </c>
      <c r="C6" s="13">
        <f>N(Aliments!$C$5)*(N(Aliments!$F$5)*SUMIFS('Aliment par vague'!$E$4:$E$22,Empoissonnement!$B$4:$B$22,$A6)+N(Aliments!$G$5)*SUMIFS('Aliment par vague'!$E$4:$E$22,Empoissonnement!$B$4:$B$22,$Q6)+N(Aliments!$H$5)*SUMIFS('Aliment par vague'!$E$4:$E$22,Empoissonnement!$B$4:$B$22,$R6))</f>
        <v>1080</v>
      </c>
      <c r="D6" s="13">
        <f>N(Aliments!$C$6)*(N(Aliments!$F$6)*SUMIFS('Aliment par vague'!$F$4:$F$22,Empoissonnement!$B$4:$B$22,$A6)+N(Aliments!$G$6)*SUMIFS('Aliment par vague'!$F$4:$F$22,Empoissonnement!$B$4:$B$22,$Q6)+N(Aliments!$H$6)*SUMIFS('Aliment par vague'!$F$4:$F$22,Empoissonnement!$B$4:$B$22,$R6))</f>
        <v>1200</v>
      </c>
      <c r="E6" s="13">
        <f>N(Aliments!$C$7)*(N(Aliments!$F$7)*SUMIFS('Aliment par vague'!$G$4:$G$22,Empoissonnement!$B$4:$B$22,$A6)+N(Aliments!$G$7)*SUMIFS('Aliment par vague'!$G$4:$G$22,Empoissonnement!$B$4:$B$22,$Q6)+N(Aliments!$H$7)*SUMIFS('Aliment par vague'!$G$4:$G$22,Empoissonnement!$B$4:$B$22,$R6))</f>
        <v>0</v>
      </c>
      <c r="F6" s="13">
        <f>N(Aliments!$C$8)*(N(Aliments!$F$8)*SUMIFS('Aliment par vague'!$H$4:$H$22,Empoissonnement!$B$4:$B$22,$A6)+N(Aliments!$G$8)*SUMIFS('Aliment par vague'!$H$4:$H$22,Empoissonnement!$B$4:$B$22,$Q6)+N(Aliments!$H$8)*SUMIFS('Aliment par vague'!$H$4:$H$22,Empoissonnement!$B$4:$B$22,$R6))</f>
        <v>0</v>
      </c>
      <c r="G6" s="13">
        <f>N(Aliments!$C$9)*(N(Aliments!$F$9)*SUMIFS('Aliment par vague'!$I$4:$I$22,Empoissonnement!$B$4:$B$22,$A6)+N(Aliments!$G$9)*SUMIFS('Aliment par vague'!$I$4:$I$22,Empoissonnement!$B$4:$B$22,$Q6)+N(Aliments!$H$9)*SUMIFS('Aliment par vague'!$I$4:$I$22,Empoissonnement!$B$4:$B$22,$R6))</f>
        <v>0</v>
      </c>
      <c r="H6" s="15">
        <f t="shared" si="0"/>
        <v>2760</v>
      </c>
      <c r="I6" s="13">
        <f>IF(Aliments!$C$4=0,0,IF(Aliments!$C$4="",0,ROUNDUP(B6/Aliments!$C$4,0)))</f>
        <v>32</v>
      </c>
      <c r="J6" s="13">
        <f>IF(Aliments!$C$5=0,0,IF(Aliments!$C$5="",0,ROUNDUP(C6/Aliments!$C$5,0)))</f>
        <v>72</v>
      </c>
      <c r="K6" s="13">
        <f>IF(Aliments!$C$6=0,0,IF(Aliments!$C$6="",0,ROUNDUP(D6/Aliments!$C$6,0)))</f>
        <v>80</v>
      </c>
      <c r="L6" s="13">
        <f>IF(Aliments!$C$7=0,0,IF(Aliments!$C$7="",0,ROUNDUP(E6/Aliments!$C$7,0)))</f>
        <v>0</v>
      </c>
      <c r="M6" s="13">
        <f>IF(Aliments!$C$8=0,0,IF(Aliments!$C$8="",0,ROUNDUP(F6/Aliments!$C$8,0)))</f>
        <v>0</v>
      </c>
      <c r="N6" s="13">
        <f>IF(Aliments!$C$9=0,0,IF(Aliments!$C$9="",0,ROUNDUP(G6/Aliments!$C$9,0)))</f>
        <v>0</v>
      </c>
      <c r="O6" s="13">
        <f>B6*Aliments!$E$4+C6*Aliments!$E$5+D6*Aliments!$E$6+E6*Aliments!$E$7+F6*Aliments!$E$8+G6*Aliments!$E$9</f>
        <v>3004000</v>
      </c>
      <c r="Q6" s="24">
        <f t="shared" si="1"/>
        <v>46235</v>
      </c>
      <c r="R6" s="24">
        <f t="shared" si="2"/>
        <v>46204</v>
      </c>
    </row>
    <row r="7" spans="1:18" x14ac:dyDescent="0.2">
      <c r="A7" s="23">
        <v>46296</v>
      </c>
      <c r="B7" s="13">
        <f>N(Aliments!$C$4)*(N(Aliments!$F$4)*SUMIFS('Aliment par vague'!$D$4:$D$22,Empoissonnement!$B$4:$B$22,$A7)+N(Aliments!$G$4)*SUMIFS('Aliment par vague'!$D$4:$D$22,Empoissonnement!$B$4:$B$22,$Q7)+N(Aliments!$H$4)*SUMIFS('Aliment par vague'!$D$4:$D$22,Empoissonnement!$B$4:$B$22,$R7))</f>
        <v>864</v>
      </c>
      <c r="C7" s="13">
        <f>N(Aliments!$C$5)*(N(Aliments!$F$5)*SUMIFS('Aliment par vague'!$E$4:$E$22,Empoissonnement!$B$4:$B$22,$A7)+N(Aliments!$G$5)*SUMIFS('Aliment par vague'!$E$4:$E$22,Empoissonnement!$B$4:$B$22,$Q7)+N(Aliments!$H$5)*SUMIFS('Aliment par vague'!$E$4:$E$22,Empoissonnement!$B$4:$B$22,$R7))</f>
        <v>1296</v>
      </c>
      <c r="D7" s="13">
        <f>N(Aliments!$C$6)*(N(Aliments!$F$6)*SUMIFS('Aliment par vague'!$F$4:$F$22,Empoissonnement!$B$4:$B$22,$A7)+N(Aliments!$G$6)*SUMIFS('Aliment par vague'!$F$4:$F$22,Empoissonnement!$B$4:$B$22,$Q7)+N(Aliments!$H$6)*SUMIFS('Aliment par vague'!$F$4:$F$22,Empoissonnement!$B$4:$B$22,$R7))</f>
        <v>3000</v>
      </c>
      <c r="E7" s="13">
        <f>N(Aliments!$C$7)*(N(Aliments!$F$7)*SUMIFS('Aliment par vague'!$G$4:$G$22,Empoissonnement!$B$4:$B$22,$A7)+N(Aliments!$G$7)*SUMIFS('Aliment par vague'!$G$4:$G$22,Empoissonnement!$B$4:$B$22,$Q7)+N(Aliments!$H$7)*SUMIFS('Aliment par vague'!$G$4:$G$22,Empoissonnement!$B$4:$B$22,$R7))</f>
        <v>0</v>
      </c>
      <c r="F7" s="13">
        <f>N(Aliments!$C$8)*(N(Aliments!$F$8)*SUMIFS('Aliment par vague'!$H$4:$H$22,Empoissonnement!$B$4:$B$22,$A7)+N(Aliments!$G$8)*SUMIFS('Aliment par vague'!$H$4:$H$22,Empoissonnement!$B$4:$B$22,$Q7)+N(Aliments!$H$8)*SUMIFS('Aliment par vague'!$H$4:$H$22,Empoissonnement!$B$4:$B$22,$R7))</f>
        <v>0</v>
      </c>
      <c r="G7" s="13">
        <f>N(Aliments!$C$9)*(N(Aliments!$F$9)*SUMIFS('Aliment par vague'!$I$4:$I$22,Empoissonnement!$B$4:$B$22,$A7)+N(Aliments!$G$9)*SUMIFS('Aliment par vague'!$I$4:$I$22,Empoissonnement!$B$4:$B$22,$Q7)+N(Aliments!$H$9)*SUMIFS('Aliment par vague'!$I$4:$I$22,Empoissonnement!$B$4:$B$22,$R7))</f>
        <v>0</v>
      </c>
      <c r="H7" s="15">
        <f t="shared" si="0"/>
        <v>5160</v>
      </c>
      <c r="I7" s="13">
        <f>IF(Aliments!$C$4=0,0,IF(Aliments!$C$4="",0,ROUNDUP(B7/Aliments!$C$4,0)))</f>
        <v>58</v>
      </c>
      <c r="J7" s="13">
        <f>IF(Aliments!$C$5=0,0,IF(Aliments!$C$5="",0,ROUNDUP(C7/Aliments!$C$5,0)))</f>
        <v>87</v>
      </c>
      <c r="K7" s="13">
        <f>IF(Aliments!$C$6=0,0,IF(Aliments!$C$6="",0,ROUNDUP(D7/Aliments!$C$6,0)))</f>
        <v>200</v>
      </c>
      <c r="L7" s="13">
        <f>IF(Aliments!$C$7=0,0,IF(Aliments!$C$7="",0,ROUNDUP(E7/Aliments!$C$7,0)))</f>
        <v>0</v>
      </c>
      <c r="M7" s="13">
        <f>IF(Aliments!$C$8=0,0,IF(Aliments!$C$8="",0,ROUNDUP(F7/Aliments!$C$8,0)))</f>
        <v>0</v>
      </c>
      <c r="N7" s="13">
        <f>IF(Aliments!$C$9=0,0,IF(Aliments!$C$9="",0,ROUNDUP(G7/Aliments!$C$9,0)))</f>
        <v>0</v>
      </c>
      <c r="O7" s="13">
        <f>B7*Aliments!$E$4+C7*Aliments!$E$5+D7*Aliments!$E$6+E7*Aliments!$E$7+F7*Aliments!$E$8+G7*Aliments!$E$9</f>
        <v>5562400</v>
      </c>
      <c r="Q7" s="24">
        <f t="shared" si="1"/>
        <v>46266</v>
      </c>
      <c r="R7" s="24">
        <f t="shared" si="2"/>
        <v>46235</v>
      </c>
    </row>
    <row r="8" spans="1:18" x14ac:dyDescent="0.2">
      <c r="A8" s="23">
        <v>46327</v>
      </c>
      <c r="B8" s="13">
        <f>N(Aliments!$C$4)*(N(Aliments!$F$4)*SUMIFS('Aliment par vague'!$D$4:$D$22,Empoissonnement!$B$4:$B$22,$A8)+N(Aliments!$G$4)*SUMIFS('Aliment par vague'!$D$4:$D$22,Empoissonnement!$B$4:$B$22,$Q8)+N(Aliments!$H$4)*SUMIFS('Aliment par vague'!$D$4:$D$22,Empoissonnement!$B$4:$B$22,$R8))</f>
        <v>960</v>
      </c>
      <c r="C8" s="13">
        <f>N(Aliments!$C$5)*(N(Aliments!$F$5)*SUMIFS('Aliment par vague'!$E$4:$E$22,Empoissonnement!$B$4:$B$22,$A8)+N(Aliments!$G$5)*SUMIFS('Aliment par vague'!$E$4:$E$22,Empoissonnement!$B$4:$B$22,$Q8)+N(Aliments!$H$5)*SUMIFS('Aliment par vague'!$E$4:$E$22,Empoissonnement!$B$4:$B$22,$R8))</f>
        <v>2160</v>
      </c>
      <c r="D8" s="13">
        <f>N(Aliments!$C$6)*(N(Aliments!$F$6)*SUMIFS('Aliment par vague'!$F$4:$F$22,Empoissonnement!$B$4:$B$22,$A8)+N(Aliments!$G$6)*SUMIFS('Aliment par vague'!$F$4:$F$22,Empoissonnement!$B$4:$B$22,$Q8)+N(Aliments!$H$6)*SUMIFS('Aliment par vague'!$F$4:$F$22,Empoissonnement!$B$4:$B$22,$R8))</f>
        <v>4200</v>
      </c>
      <c r="E8" s="13">
        <f>N(Aliments!$C$7)*(N(Aliments!$F$7)*SUMIFS('Aliment par vague'!$G$4:$G$22,Empoissonnement!$B$4:$B$22,$A8)+N(Aliments!$G$7)*SUMIFS('Aliment par vague'!$G$4:$G$22,Empoissonnement!$B$4:$B$22,$Q8)+N(Aliments!$H$7)*SUMIFS('Aliment par vague'!$G$4:$G$22,Empoissonnement!$B$4:$B$22,$R8))</f>
        <v>0</v>
      </c>
      <c r="F8" s="13">
        <f>N(Aliments!$C$8)*(N(Aliments!$F$8)*SUMIFS('Aliment par vague'!$H$4:$H$22,Empoissonnement!$B$4:$B$22,$A8)+N(Aliments!$G$8)*SUMIFS('Aliment par vague'!$H$4:$H$22,Empoissonnement!$B$4:$B$22,$Q8)+N(Aliments!$H$8)*SUMIFS('Aliment par vague'!$H$4:$H$22,Empoissonnement!$B$4:$B$22,$R8))</f>
        <v>0</v>
      </c>
      <c r="G8" s="13">
        <f>N(Aliments!$C$9)*(N(Aliments!$F$9)*SUMIFS('Aliment par vague'!$I$4:$I$22,Empoissonnement!$B$4:$B$22,$A8)+N(Aliments!$G$9)*SUMIFS('Aliment par vague'!$I$4:$I$22,Empoissonnement!$B$4:$B$22,$Q8)+N(Aliments!$H$9)*SUMIFS('Aliment par vague'!$I$4:$I$22,Empoissonnement!$B$4:$B$22,$R8))</f>
        <v>0</v>
      </c>
      <c r="H8" s="15">
        <f t="shared" si="0"/>
        <v>7320</v>
      </c>
      <c r="I8" s="13">
        <f>IF(Aliments!$C$4=0,0,IF(Aliments!$C$4="",0,ROUNDUP(B8/Aliments!$C$4,0)))</f>
        <v>64</v>
      </c>
      <c r="J8" s="13">
        <f>IF(Aliments!$C$5=0,0,IF(Aliments!$C$5="",0,ROUNDUP(C8/Aliments!$C$5,0)))</f>
        <v>144</v>
      </c>
      <c r="K8" s="13">
        <f>IF(Aliments!$C$6=0,0,IF(Aliments!$C$6="",0,ROUNDUP(D8/Aliments!$C$6,0)))</f>
        <v>280</v>
      </c>
      <c r="L8" s="13">
        <f>IF(Aliments!$C$7=0,0,IF(Aliments!$C$7="",0,ROUNDUP(E8/Aliments!$C$7,0)))</f>
        <v>0</v>
      </c>
      <c r="M8" s="13">
        <f>IF(Aliments!$C$8=0,0,IF(Aliments!$C$8="",0,ROUNDUP(F8/Aliments!$C$8,0)))</f>
        <v>0</v>
      </c>
      <c r="N8" s="13">
        <f>IF(Aliments!$C$9=0,0,IF(Aliments!$C$9="",0,ROUNDUP(G8/Aliments!$C$9,0)))</f>
        <v>0</v>
      </c>
      <c r="O8" s="13">
        <f>B8*Aliments!$E$4+C8*Aliments!$E$5+D8*Aliments!$E$6+E8*Aliments!$E$7+F8*Aliments!$E$8+G8*Aliments!$E$9</f>
        <v>7868000</v>
      </c>
      <c r="Q8" s="24">
        <f t="shared" si="1"/>
        <v>46296</v>
      </c>
      <c r="R8" s="24">
        <f t="shared" si="2"/>
        <v>46266</v>
      </c>
    </row>
    <row r="9" spans="1:18" x14ac:dyDescent="0.2">
      <c r="A9" s="23">
        <v>46357</v>
      </c>
      <c r="B9" s="13">
        <f>N(Aliments!$C$4)*(N(Aliments!$F$4)*SUMIFS('Aliment par vague'!$D$4:$D$22,Empoissonnement!$B$4:$B$22,$A9)+N(Aliments!$G$4)*SUMIFS('Aliment par vague'!$D$4:$D$22,Empoissonnement!$B$4:$B$22,$Q9)+N(Aliments!$H$4)*SUMIFS('Aliment par vague'!$D$4:$D$22,Empoissonnement!$B$4:$B$22,$R9))</f>
        <v>1152</v>
      </c>
      <c r="C9" s="13">
        <f>N(Aliments!$C$5)*(N(Aliments!$F$5)*SUMIFS('Aliment par vague'!$E$4:$E$22,Empoissonnement!$B$4:$B$22,$A9)+N(Aliments!$G$5)*SUMIFS('Aliment par vague'!$E$4:$E$22,Empoissonnement!$B$4:$B$22,$Q9)+N(Aliments!$H$5)*SUMIFS('Aliment par vague'!$E$4:$E$22,Empoissonnement!$B$4:$B$22,$R9))</f>
        <v>2268</v>
      </c>
      <c r="D9" s="13">
        <f>N(Aliments!$C$6)*(N(Aliments!$F$6)*SUMIFS('Aliment par vague'!$F$4:$F$22,Empoissonnement!$B$4:$B$22,$A9)+N(Aliments!$G$6)*SUMIFS('Aliment par vague'!$F$4:$F$22,Empoissonnement!$B$4:$B$22,$Q9)+N(Aliments!$H$6)*SUMIFS('Aliment par vague'!$F$4:$F$22,Empoissonnement!$B$4:$B$22,$R9))</f>
        <v>6000</v>
      </c>
      <c r="E9" s="13">
        <f>N(Aliments!$C$7)*(N(Aliments!$F$7)*SUMIFS('Aliment par vague'!$G$4:$G$22,Empoissonnement!$B$4:$B$22,$A9)+N(Aliments!$G$7)*SUMIFS('Aliment par vague'!$G$4:$G$22,Empoissonnement!$B$4:$B$22,$Q9)+N(Aliments!$H$7)*SUMIFS('Aliment par vague'!$G$4:$G$22,Empoissonnement!$B$4:$B$22,$R9))</f>
        <v>0</v>
      </c>
      <c r="F9" s="13">
        <f>N(Aliments!$C$8)*(N(Aliments!$F$8)*SUMIFS('Aliment par vague'!$H$4:$H$22,Empoissonnement!$B$4:$B$22,$A9)+N(Aliments!$G$8)*SUMIFS('Aliment par vague'!$H$4:$H$22,Empoissonnement!$B$4:$B$22,$Q9)+N(Aliments!$H$8)*SUMIFS('Aliment par vague'!$H$4:$H$22,Empoissonnement!$B$4:$B$22,$R9))</f>
        <v>0</v>
      </c>
      <c r="G9" s="13">
        <f>N(Aliments!$C$9)*(N(Aliments!$F$9)*SUMIFS('Aliment par vague'!$I$4:$I$22,Empoissonnement!$B$4:$B$22,$A9)+N(Aliments!$G$9)*SUMIFS('Aliment par vague'!$I$4:$I$22,Empoissonnement!$B$4:$B$22,$Q9)+N(Aliments!$H$9)*SUMIFS('Aliment par vague'!$I$4:$I$22,Empoissonnement!$B$4:$B$22,$R9))</f>
        <v>0</v>
      </c>
      <c r="H9" s="15">
        <f t="shared" si="0"/>
        <v>9420</v>
      </c>
      <c r="I9" s="13">
        <f>IF(Aliments!$C$4=0,0,IF(Aliments!$C$4="",0,ROUNDUP(B9/Aliments!$C$4,0)))</f>
        <v>77</v>
      </c>
      <c r="J9" s="13">
        <f>IF(Aliments!$C$5=0,0,IF(Aliments!$C$5="",0,ROUNDUP(C9/Aliments!$C$5,0)))</f>
        <v>152</v>
      </c>
      <c r="K9" s="13">
        <f>IF(Aliments!$C$6=0,0,IF(Aliments!$C$6="",0,ROUNDUP(D9/Aliments!$C$6,0)))</f>
        <v>400</v>
      </c>
      <c r="L9" s="13">
        <f>IF(Aliments!$C$7=0,0,IF(Aliments!$C$7="",0,ROUNDUP(E9/Aliments!$C$7,0)))</f>
        <v>0</v>
      </c>
      <c r="M9" s="13">
        <f>IF(Aliments!$C$8=0,0,IF(Aliments!$C$8="",0,ROUNDUP(F9/Aliments!$C$8,0)))</f>
        <v>0</v>
      </c>
      <c r="N9" s="13">
        <f>IF(Aliments!$C$9=0,0,IF(Aliments!$C$9="",0,ROUNDUP(G9/Aliments!$C$9,0)))</f>
        <v>0</v>
      </c>
      <c r="O9" s="13">
        <f>B9*Aliments!$E$4+C9*Aliments!$E$5+D9*Aliments!$E$6+E9*Aliments!$E$7+F9*Aliments!$E$8+G9*Aliments!$E$9</f>
        <v>10077200</v>
      </c>
      <c r="Q9" s="24">
        <f t="shared" si="1"/>
        <v>46327</v>
      </c>
      <c r="R9" s="24">
        <f t="shared" si="2"/>
        <v>46296</v>
      </c>
    </row>
    <row r="10" spans="1:18" x14ac:dyDescent="0.2">
      <c r="A10" s="23">
        <v>46388</v>
      </c>
      <c r="B10" s="13">
        <f>N(Aliments!$C$4)*(N(Aliments!$F$4)*SUMIFS('Aliment par vague'!$D$4:$D$22,Empoissonnement!$B$4:$B$22,$A10)+N(Aliments!$G$4)*SUMIFS('Aliment par vague'!$D$4:$D$22,Empoissonnement!$B$4:$B$22,$Q10)+N(Aliments!$H$4)*SUMIFS('Aliment par vague'!$D$4:$D$22,Empoissonnement!$B$4:$B$22,$R10))</f>
        <v>1392.0000000000002</v>
      </c>
      <c r="C10" s="13">
        <f>N(Aliments!$C$5)*(N(Aliments!$F$5)*SUMIFS('Aliment par vague'!$E$4:$E$22,Empoissonnement!$B$4:$B$22,$A10)+N(Aliments!$G$5)*SUMIFS('Aliment par vague'!$E$4:$E$22,Empoissonnement!$B$4:$B$22,$Q10)+N(Aliments!$H$5)*SUMIFS('Aliment par vague'!$E$4:$E$22,Empoissonnement!$B$4:$B$22,$R10))</f>
        <v>2808</v>
      </c>
      <c r="D10" s="13">
        <f>N(Aliments!$C$6)*(N(Aliments!$F$6)*SUMIFS('Aliment par vague'!$F$4:$F$22,Empoissonnement!$B$4:$B$22,$A10)+N(Aliments!$G$6)*SUMIFS('Aliment par vague'!$F$4:$F$22,Empoissonnement!$B$4:$B$22,$Q10)+N(Aliments!$H$6)*SUMIFS('Aliment par vague'!$F$4:$F$22,Empoissonnement!$B$4:$B$22,$R10))</f>
        <v>6600</v>
      </c>
      <c r="E10" s="13">
        <f>N(Aliments!$C$7)*(N(Aliments!$F$7)*SUMIFS('Aliment par vague'!$G$4:$G$22,Empoissonnement!$B$4:$B$22,$A10)+N(Aliments!$G$7)*SUMIFS('Aliment par vague'!$G$4:$G$22,Empoissonnement!$B$4:$B$22,$Q10)+N(Aliments!$H$7)*SUMIFS('Aliment par vague'!$G$4:$G$22,Empoissonnement!$B$4:$B$22,$R10))</f>
        <v>0</v>
      </c>
      <c r="F10" s="13">
        <f>N(Aliments!$C$8)*(N(Aliments!$F$8)*SUMIFS('Aliment par vague'!$H$4:$H$22,Empoissonnement!$B$4:$B$22,$A10)+N(Aliments!$G$8)*SUMIFS('Aliment par vague'!$H$4:$H$22,Empoissonnement!$B$4:$B$22,$Q10)+N(Aliments!$H$8)*SUMIFS('Aliment par vague'!$H$4:$H$22,Empoissonnement!$B$4:$B$22,$R10))</f>
        <v>0</v>
      </c>
      <c r="G10" s="13">
        <f>N(Aliments!$C$9)*(N(Aliments!$F$9)*SUMIFS('Aliment par vague'!$I$4:$I$22,Empoissonnement!$B$4:$B$22,$A10)+N(Aliments!$G$9)*SUMIFS('Aliment par vague'!$I$4:$I$22,Empoissonnement!$B$4:$B$22,$Q10)+N(Aliments!$H$9)*SUMIFS('Aliment par vague'!$I$4:$I$22,Empoissonnement!$B$4:$B$22,$R10))</f>
        <v>0</v>
      </c>
      <c r="H10" s="15">
        <f t="shared" si="0"/>
        <v>10800</v>
      </c>
      <c r="I10" s="13">
        <f>IF(Aliments!$C$4=0,0,IF(Aliments!$C$4="",0,ROUNDUP(B10/Aliments!$C$4,0)))</f>
        <v>93</v>
      </c>
      <c r="J10" s="13">
        <f>IF(Aliments!$C$5=0,0,IF(Aliments!$C$5="",0,ROUNDUP(C10/Aliments!$C$5,0)))</f>
        <v>188</v>
      </c>
      <c r="K10" s="13">
        <f>IF(Aliments!$C$6=0,0,IF(Aliments!$C$6="",0,ROUNDUP(D10/Aliments!$C$6,0)))</f>
        <v>440</v>
      </c>
      <c r="L10" s="13">
        <f>IF(Aliments!$C$7=0,0,IF(Aliments!$C$7="",0,ROUNDUP(E10/Aliments!$C$7,0)))</f>
        <v>0</v>
      </c>
      <c r="M10" s="13">
        <f>IF(Aliments!$C$8=0,0,IF(Aliments!$C$8="",0,ROUNDUP(F10/Aliments!$C$8,0)))</f>
        <v>0</v>
      </c>
      <c r="N10" s="13">
        <f>IF(Aliments!$C$9=0,0,IF(Aliments!$C$9="",0,ROUNDUP(G10/Aliments!$C$9,0)))</f>
        <v>0</v>
      </c>
      <c r="O10" s="13">
        <f>B10*Aliments!$E$4+C10*Aliments!$E$5+D10*Aliments!$E$6+E10*Aliments!$E$7+F10*Aliments!$E$8+G10*Aliments!$E$9</f>
        <v>11579200</v>
      </c>
      <c r="Q10" s="24">
        <f t="shared" si="1"/>
        <v>46357</v>
      </c>
      <c r="R10" s="24">
        <f t="shared" si="2"/>
        <v>46327</v>
      </c>
    </row>
    <row r="11" spans="1:18" x14ac:dyDescent="0.2">
      <c r="A11" s="23">
        <v>46419</v>
      </c>
      <c r="B11" s="13">
        <f>N(Aliments!$C$4)*(N(Aliments!$F$4)*SUMIFS('Aliment par vague'!$D$4:$D$22,Empoissonnement!$B$4:$B$22,$A11)+N(Aliments!$G$4)*SUMIFS('Aliment par vague'!$D$4:$D$22,Empoissonnement!$B$4:$B$22,$Q11)+N(Aliments!$H$4)*SUMIFS('Aliment par vague'!$D$4:$D$22,Empoissonnement!$B$4:$B$22,$R11))</f>
        <v>1728</v>
      </c>
      <c r="C11" s="13">
        <f>N(Aliments!$C$5)*(N(Aliments!$F$5)*SUMIFS('Aliment par vague'!$E$4:$E$22,Empoissonnement!$B$4:$B$22,$A11)+N(Aliments!$G$5)*SUMIFS('Aliment par vague'!$E$4:$E$22,Empoissonnement!$B$4:$B$22,$Q11)+N(Aliments!$H$5)*SUMIFS('Aliment par vague'!$E$4:$E$22,Empoissonnement!$B$4:$B$22,$R11))</f>
        <v>3402</v>
      </c>
      <c r="D11" s="13">
        <f>N(Aliments!$C$6)*(N(Aliments!$F$6)*SUMIFS('Aliment par vague'!$F$4:$F$22,Empoissonnement!$B$4:$B$22,$A11)+N(Aliments!$G$6)*SUMIFS('Aliment par vague'!$F$4:$F$22,Empoissonnement!$B$4:$B$22,$Q11)+N(Aliments!$H$6)*SUMIFS('Aliment par vague'!$F$4:$F$22,Empoissonnement!$B$4:$B$22,$R11))</f>
        <v>8100</v>
      </c>
      <c r="E11" s="13">
        <f>N(Aliments!$C$7)*(N(Aliments!$F$7)*SUMIFS('Aliment par vague'!$G$4:$G$22,Empoissonnement!$B$4:$B$22,$A11)+N(Aliments!$G$7)*SUMIFS('Aliment par vague'!$G$4:$G$22,Empoissonnement!$B$4:$B$22,$Q11)+N(Aliments!$H$7)*SUMIFS('Aliment par vague'!$G$4:$G$22,Empoissonnement!$B$4:$B$22,$R11))</f>
        <v>0</v>
      </c>
      <c r="F11" s="13">
        <f>N(Aliments!$C$8)*(N(Aliments!$F$8)*SUMIFS('Aliment par vague'!$H$4:$H$22,Empoissonnement!$B$4:$B$22,$A11)+N(Aliments!$G$8)*SUMIFS('Aliment par vague'!$H$4:$H$22,Empoissonnement!$B$4:$B$22,$Q11)+N(Aliments!$H$8)*SUMIFS('Aliment par vague'!$H$4:$H$22,Empoissonnement!$B$4:$B$22,$R11))</f>
        <v>0</v>
      </c>
      <c r="G11" s="13">
        <f>N(Aliments!$C$9)*(N(Aliments!$F$9)*SUMIFS('Aliment par vague'!$I$4:$I$22,Empoissonnement!$B$4:$B$22,$A11)+N(Aliments!$G$9)*SUMIFS('Aliment par vague'!$I$4:$I$22,Empoissonnement!$B$4:$B$22,$Q11)+N(Aliments!$H$9)*SUMIFS('Aliment par vague'!$I$4:$I$22,Empoissonnement!$B$4:$B$22,$R11))</f>
        <v>0</v>
      </c>
      <c r="H11" s="15">
        <f t="shared" si="0"/>
        <v>13230</v>
      </c>
      <c r="I11" s="13">
        <f>IF(Aliments!$C$4=0,0,IF(Aliments!$C$4="",0,ROUNDUP(B11/Aliments!$C$4,0)))</f>
        <v>116</v>
      </c>
      <c r="J11" s="13">
        <f>IF(Aliments!$C$5=0,0,IF(Aliments!$C$5="",0,ROUNDUP(C11/Aliments!$C$5,0)))</f>
        <v>227</v>
      </c>
      <c r="K11" s="13">
        <f>IF(Aliments!$C$6=0,0,IF(Aliments!$C$6="",0,ROUNDUP(D11/Aliments!$C$6,0)))</f>
        <v>540</v>
      </c>
      <c r="L11" s="13">
        <f>IF(Aliments!$C$7=0,0,IF(Aliments!$C$7="",0,ROUNDUP(E11/Aliments!$C$7,0)))</f>
        <v>0</v>
      </c>
      <c r="M11" s="13">
        <f>IF(Aliments!$C$8=0,0,IF(Aliments!$C$8="",0,ROUNDUP(F11/Aliments!$C$8,0)))</f>
        <v>0</v>
      </c>
      <c r="N11" s="13">
        <f>IF(Aliments!$C$9=0,0,IF(Aliments!$C$9="",0,ROUNDUP(G11/Aliments!$C$9,0)))</f>
        <v>0</v>
      </c>
      <c r="O11" s="13">
        <f>B11*Aliments!$E$4+C11*Aliments!$E$5+D11*Aliments!$E$6+E11*Aliments!$E$7+F11*Aliments!$E$8+G11*Aliments!$E$9</f>
        <v>14185800</v>
      </c>
      <c r="Q11" s="24">
        <f t="shared" si="1"/>
        <v>46388</v>
      </c>
      <c r="R11" s="24">
        <f t="shared" si="2"/>
        <v>46357</v>
      </c>
    </row>
    <row r="12" spans="1:18" x14ac:dyDescent="0.2">
      <c r="A12" s="23">
        <v>46447</v>
      </c>
      <c r="B12" s="13">
        <f>N(Aliments!$C$4)*(N(Aliments!$F$4)*SUMIFS('Aliment par vague'!$D$4:$D$22,Empoissonnement!$B$4:$B$22,$A12)+N(Aliments!$G$4)*SUMIFS('Aliment par vague'!$D$4:$D$22,Empoissonnement!$B$4:$B$22,$Q12)+N(Aliments!$H$4)*SUMIFS('Aliment par vague'!$D$4:$D$22,Empoissonnement!$B$4:$B$22,$R12))</f>
        <v>1800</v>
      </c>
      <c r="C12" s="13">
        <f>N(Aliments!$C$5)*(N(Aliments!$F$5)*SUMIFS('Aliment par vague'!$E$4:$E$22,Empoissonnement!$B$4:$B$22,$A12)+N(Aliments!$G$5)*SUMIFS('Aliment par vague'!$E$4:$E$22,Empoissonnement!$B$4:$B$22,$Q12)+N(Aliments!$H$5)*SUMIFS('Aliment par vague'!$E$4:$E$22,Empoissonnement!$B$4:$B$22,$R12))</f>
        <v>4050</v>
      </c>
      <c r="D12" s="13">
        <f>N(Aliments!$C$6)*(N(Aliments!$F$6)*SUMIFS('Aliment par vague'!$F$4:$F$22,Empoissonnement!$B$4:$B$22,$A12)+N(Aliments!$G$6)*SUMIFS('Aliment par vague'!$F$4:$F$22,Empoissonnement!$B$4:$B$22,$Q12)+N(Aliments!$H$6)*SUMIFS('Aliment par vague'!$F$4:$F$22,Empoissonnement!$B$4:$B$22,$R12))</f>
        <v>9900</v>
      </c>
      <c r="E12" s="13">
        <f>N(Aliments!$C$7)*(N(Aliments!$F$7)*SUMIFS('Aliment par vague'!$G$4:$G$22,Empoissonnement!$B$4:$B$22,$A12)+N(Aliments!$G$7)*SUMIFS('Aliment par vague'!$G$4:$G$22,Empoissonnement!$B$4:$B$22,$Q12)+N(Aliments!$H$7)*SUMIFS('Aliment par vague'!$G$4:$G$22,Empoissonnement!$B$4:$B$22,$R12))</f>
        <v>0</v>
      </c>
      <c r="F12" s="13">
        <f>N(Aliments!$C$8)*(N(Aliments!$F$8)*SUMIFS('Aliment par vague'!$H$4:$H$22,Empoissonnement!$B$4:$B$22,$A12)+N(Aliments!$G$8)*SUMIFS('Aliment par vague'!$H$4:$H$22,Empoissonnement!$B$4:$B$22,$Q12)+N(Aliments!$H$8)*SUMIFS('Aliment par vague'!$H$4:$H$22,Empoissonnement!$B$4:$B$22,$R12))</f>
        <v>0</v>
      </c>
      <c r="G12" s="13">
        <f>N(Aliments!$C$9)*(N(Aliments!$F$9)*SUMIFS('Aliment par vague'!$I$4:$I$22,Empoissonnement!$B$4:$B$22,$A12)+N(Aliments!$G$9)*SUMIFS('Aliment par vague'!$I$4:$I$22,Empoissonnement!$B$4:$B$22,$Q12)+N(Aliments!$H$9)*SUMIFS('Aliment par vague'!$I$4:$I$22,Empoissonnement!$B$4:$B$22,$R12))</f>
        <v>0</v>
      </c>
      <c r="H12" s="15">
        <f t="shared" si="0"/>
        <v>15750</v>
      </c>
      <c r="I12" s="13">
        <f>IF(Aliments!$C$4=0,0,IF(Aliments!$C$4="",0,ROUNDUP(B12/Aliments!$C$4,0)))</f>
        <v>120</v>
      </c>
      <c r="J12" s="13">
        <f>IF(Aliments!$C$5=0,0,IF(Aliments!$C$5="",0,ROUNDUP(C12/Aliments!$C$5,0)))</f>
        <v>270</v>
      </c>
      <c r="K12" s="13">
        <f>IF(Aliments!$C$6=0,0,IF(Aliments!$C$6="",0,ROUNDUP(D12/Aliments!$C$6,0)))</f>
        <v>660</v>
      </c>
      <c r="L12" s="13">
        <f>IF(Aliments!$C$7=0,0,IF(Aliments!$C$7="",0,ROUNDUP(E12/Aliments!$C$7,0)))</f>
        <v>0</v>
      </c>
      <c r="M12" s="13">
        <f>IF(Aliments!$C$8=0,0,IF(Aliments!$C$8="",0,ROUNDUP(F12/Aliments!$C$8,0)))</f>
        <v>0</v>
      </c>
      <c r="N12" s="13">
        <f>IF(Aliments!$C$9=0,0,IF(Aliments!$C$9="",0,ROUNDUP(G12/Aliments!$C$9,0)))</f>
        <v>0</v>
      </c>
      <c r="O12" s="13">
        <f>B12*Aliments!$E$4+C12*Aliments!$E$5+D12*Aliments!$E$6+E12*Aliments!$E$7+F12*Aliments!$E$8+G12*Aliments!$E$9</f>
        <v>16845000</v>
      </c>
      <c r="Q12" s="24">
        <f t="shared" si="1"/>
        <v>46419</v>
      </c>
      <c r="R12" s="24">
        <f t="shared" si="2"/>
        <v>46388</v>
      </c>
    </row>
    <row r="13" spans="1:18" x14ac:dyDescent="0.2">
      <c r="A13" s="23">
        <v>46478</v>
      </c>
      <c r="B13" s="13">
        <f>N(Aliments!$C$4)*(N(Aliments!$F$4)*SUMIFS('Aliment par vague'!$D$4:$D$22,Empoissonnement!$B$4:$B$22,$A13)+N(Aliments!$G$4)*SUMIFS('Aliment par vague'!$D$4:$D$22,Empoissonnement!$B$4:$B$22,$Q13)+N(Aliments!$H$4)*SUMIFS('Aliment par vague'!$D$4:$D$22,Empoissonnement!$B$4:$B$22,$R13))</f>
        <v>1800</v>
      </c>
      <c r="C13" s="13">
        <f>N(Aliments!$C$5)*(N(Aliments!$F$5)*SUMIFS('Aliment par vague'!$E$4:$E$22,Empoissonnement!$B$4:$B$22,$A13)+N(Aliments!$G$5)*SUMIFS('Aliment par vague'!$E$4:$E$22,Empoissonnement!$B$4:$B$22,$Q13)+N(Aliments!$H$5)*SUMIFS('Aliment par vague'!$E$4:$E$22,Empoissonnement!$B$4:$B$22,$R13))</f>
        <v>4050</v>
      </c>
      <c r="D13" s="13">
        <f>N(Aliments!$C$6)*(N(Aliments!$F$6)*SUMIFS('Aliment par vague'!$F$4:$F$22,Empoissonnement!$B$4:$B$22,$A13)+N(Aliments!$G$6)*SUMIFS('Aliment par vague'!$F$4:$F$22,Empoissonnement!$B$4:$B$22,$Q13)+N(Aliments!$H$6)*SUMIFS('Aliment par vague'!$F$4:$F$22,Empoissonnement!$B$4:$B$22,$R13))</f>
        <v>11250</v>
      </c>
      <c r="E13" s="13">
        <f>N(Aliments!$C$7)*(N(Aliments!$F$7)*SUMIFS('Aliment par vague'!$G$4:$G$22,Empoissonnement!$B$4:$B$22,$A13)+N(Aliments!$G$7)*SUMIFS('Aliment par vague'!$G$4:$G$22,Empoissonnement!$B$4:$B$22,$Q13)+N(Aliments!$H$7)*SUMIFS('Aliment par vague'!$G$4:$G$22,Empoissonnement!$B$4:$B$22,$R13))</f>
        <v>0</v>
      </c>
      <c r="F13" s="13">
        <f>N(Aliments!$C$8)*(N(Aliments!$F$8)*SUMIFS('Aliment par vague'!$H$4:$H$22,Empoissonnement!$B$4:$B$22,$A13)+N(Aliments!$G$8)*SUMIFS('Aliment par vague'!$H$4:$H$22,Empoissonnement!$B$4:$B$22,$Q13)+N(Aliments!$H$8)*SUMIFS('Aliment par vague'!$H$4:$H$22,Empoissonnement!$B$4:$B$22,$R13))</f>
        <v>0</v>
      </c>
      <c r="G13" s="13">
        <f>N(Aliments!$C$9)*(N(Aliments!$F$9)*SUMIFS('Aliment par vague'!$I$4:$I$22,Empoissonnement!$B$4:$B$22,$A13)+N(Aliments!$G$9)*SUMIFS('Aliment par vague'!$I$4:$I$22,Empoissonnement!$B$4:$B$22,$Q13)+N(Aliments!$H$9)*SUMIFS('Aliment par vague'!$I$4:$I$22,Empoissonnement!$B$4:$B$22,$R13))</f>
        <v>0</v>
      </c>
      <c r="H13" s="15">
        <f t="shared" si="0"/>
        <v>17100</v>
      </c>
      <c r="I13" s="13">
        <f>IF(Aliments!$C$4=0,0,IF(Aliments!$C$4="",0,ROUNDUP(B13/Aliments!$C$4,0)))</f>
        <v>120</v>
      </c>
      <c r="J13" s="13">
        <f>IF(Aliments!$C$5=0,0,IF(Aliments!$C$5="",0,ROUNDUP(C13/Aliments!$C$5,0)))</f>
        <v>270</v>
      </c>
      <c r="K13" s="13">
        <f>IF(Aliments!$C$6=0,0,IF(Aliments!$C$6="",0,ROUNDUP(D13/Aliments!$C$6,0)))</f>
        <v>750</v>
      </c>
      <c r="L13" s="13">
        <f>IF(Aliments!$C$7=0,0,IF(Aliments!$C$7="",0,ROUNDUP(E13/Aliments!$C$7,0)))</f>
        <v>0</v>
      </c>
      <c r="M13" s="13">
        <f>IF(Aliments!$C$8=0,0,IF(Aliments!$C$8="",0,ROUNDUP(F13/Aliments!$C$8,0)))</f>
        <v>0</v>
      </c>
      <c r="N13" s="13">
        <f>IF(Aliments!$C$9=0,0,IF(Aliments!$C$9="",0,ROUNDUP(G13/Aliments!$C$9,0)))</f>
        <v>0</v>
      </c>
      <c r="O13" s="13">
        <f>B13*Aliments!$E$4+C13*Aliments!$E$5+D13*Aliments!$E$6+E13*Aliments!$E$7+F13*Aliments!$E$8+G13*Aliments!$E$9</f>
        <v>18240000</v>
      </c>
      <c r="Q13" s="24">
        <f t="shared" si="1"/>
        <v>46447</v>
      </c>
      <c r="R13" s="24">
        <f t="shared" si="2"/>
        <v>46419</v>
      </c>
    </row>
    <row r="14" spans="1:18" x14ac:dyDescent="0.2">
      <c r="A14" s="23">
        <v>46508</v>
      </c>
      <c r="B14" s="13">
        <f>N(Aliments!$C$4)*(N(Aliments!$F$4)*SUMIFS('Aliment par vague'!$D$4:$D$22,Empoissonnement!$B$4:$B$22,$A14)+N(Aliments!$G$4)*SUMIFS('Aliment par vague'!$D$4:$D$22,Empoissonnement!$B$4:$B$22,$Q14)+N(Aliments!$H$4)*SUMIFS('Aliment par vague'!$D$4:$D$22,Empoissonnement!$B$4:$B$22,$R14))</f>
        <v>1800</v>
      </c>
      <c r="C14" s="13">
        <f>N(Aliments!$C$5)*(N(Aliments!$F$5)*SUMIFS('Aliment par vague'!$E$4:$E$22,Empoissonnement!$B$4:$B$22,$A14)+N(Aliments!$G$5)*SUMIFS('Aliment par vague'!$E$4:$E$22,Empoissonnement!$B$4:$B$22,$Q14)+N(Aliments!$H$5)*SUMIFS('Aliment par vague'!$E$4:$E$22,Empoissonnement!$B$4:$B$22,$R14))</f>
        <v>4050</v>
      </c>
      <c r="D14" s="13">
        <f>N(Aliments!$C$6)*(N(Aliments!$F$6)*SUMIFS('Aliment par vague'!$F$4:$F$22,Empoissonnement!$B$4:$B$22,$A14)+N(Aliments!$G$6)*SUMIFS('Aliment par vague'!$F$4:$F$22,Empoissonnement!$B$4:$B$22,$Q14)+N(Aliments!$H$6)*SUMIFS('Aliment par vague'!$F$4:$F$22,Empoissonnement!$B$4:$B$22,$R14))</f>
        <v>11250</v>
      </c>
      <c r="E14" s="13">
        <f>N(Aliments!$C$7)*(N(Aliments!$F$7)*SUMIFS('Aliment par vague'!$G$4:$G$22,Empoissonnement!$B$4:$B$22,$A14)+N(Aliments!$G$7)*SUMIFS('Aliment par vague'!$G$4:$G$22,Empoissonnement!$B$4:$B$22,$Q14)+N(Aliments!$H$7)*SUMIFS('Aliment par vague'!$G$4:$G$22,Empoissonnement!$B$4:$B$22,$R14))</f>
        <v>0</v>
      </c>
      <c r="F14" s="13">
        <f>N(Aliments!$C$8)*(N(Aliments!$F$8)*SUMIFS('Aliment par vague'!$H$4:$H$22,Empoissonnement!$B$4:$B$22,$A14)+N(Aliments!$G$8)*SUMIFS('Aliment par vague'!$H$4:$H$22,Empoissonnement!$B$4:$B$22,$Q14)+N(Aliments!$H$8)*SUMIFS('Aliment par vague'!$H$4:$H$22,Empoissonnement!$B$4:$B$22,$R14))</f>
        <v>0</v>
      </c>
      <c r="G14" s="13">
        <f>N(Aliments!$C$9)*(N(Aliments!$F$9)*SUMIFS('Aliment par vague'!$I$4:$I$22,Empoissonnement!$B$4:$B$22,$A14)+N(Aliments!$G$9)*SUMIFS('Aliment par vague'!$I$4:$I$22,Empoissonnement!$B$4:$B$22,$Q14)+N(Aliments!$H$9)*SUMIFS('Aliment par vague'!$I$4:$I$22,Empoissonnement!$B$4:$B$22,$R14))</f>
        <v>0</v>
      </c>
      <c r="H14" s="15">
        <f t="shared" si="0"/>
        <v>17100</v>
      </c>
      <c r="I14" s="13">
        <f>IF(Aliments!$C$4=0,0,IF(Aliments!$C$4="",0,ROUNDUP(B14/Aliments!$C$4,0)))</f>
        <v>120</v>
      </c>
      <c r="J14" s="13">
        <f>IF(Aliments!$C$5=0,0,IF(Aliments!$C$5="",0,ROUNDUP(C14/Aliments!$C$5,0)))</f>
        <v>270</v>
      </c>
      <c r="K14" s="13">
        <f>IF(Aliments!$C$6=0,0,IF(Aliments!$C$6="",0,ROUNDUP(D14/Aliments!$C$6,0)))</f>
        <v>750</v>
      </c>
      <c r="L14" s="13">
        <f>IF(Aliments!$C$7=0,0,IF(Aliments!$C$7="",0,ROUNDUP(E14/Aliments!$C$7,0)))</f>
        <v>0</v>
      </c>
      <c r="M14" s="13">
        <f>IF(Aliments!$C$8=0,0,IF(Aliments!$C$8="",0,ROUNDUP(F14/Aliments!$C$8,0)))</f>
        <v>0</v>
      </c>
      <c r="N14" s="13">
        <f>IF(Aliments!$C$9=0,0,IF(Aliments!$C$9="",0,ROUNDUP(G14/Aliments!$C$9,0)))</f>
        <v>0</v>
      </c>
      <c r="O14" s="13">
        <f>B14*Aliments!$E$4+C14*Aliments!$E$5+D14*Aliments!$E$6+E14*Aliments!$E$7+F14*Aliments!$E$8+G14*Aliments!$E$9</f>
        <v>18240000</v>
      </c>
      <c r="Q14" s="24">
        <f t="shared" si="1"/>
        <v>46478</v>
      </c>
      <c r="R14" s="24">
        <f t="shared" si="2"/>
        <v>46447</v>
      </c>
    </row>
    <row r="15" spans="1:18" x14ac:dyDescent="0.2">
      <c r="A15" s="23">
        <v>46539</v>
      </c>
      <c r="B15" s="13">
        <f>N(Aliments!$C$4)*(N(Aliments!$F$4)*SUMIFS('Aliment par vague'!$D$4:$D$22,Empoissonnement!$B$4:$B$22,$A15)+N(Aliments!$G$4)*SUMIFS('Aliment par vague'!$D$4:$D$22,Empoissonnement!$B$4:$B$22,$Q15)+N(Aliments!$H$4)*SUMIFS('Aliment par vague'!$D$4:$D$22,Empoissonnement!$B$4:$B$22,$R15))</f>
        <v>1800</v>
      </c>
      <c r="C15" s="13">
        <f>N(Aliments!$C$5)*(N(Aliments!$F$5)*SUMIFS('Aliment par vague'!$E$4:$E$22,Empoissonnement!$B$4:$B$22,$A15)+N(Aliments!$G$5)*SUMIFS('Aliment par vague'!$E$4:$E$22,Empoissonnement!$B$4:$B$22,$Q15)+N(Aliments!$H$5)*SUMIFS('Aliment par vague'!$E$4:$E$22,Empoissonnement!$B$4:$B$22,$R15))</f>
        <v>4050</v>
      </c>
      <c r="D15" s="13">
        <f>N(Aliments!$C$6)*(N(Aliments!$F$6)*SUMIFS('Aliment par vague'!$F$4:$F$22,Empoissonnement!$B$4:$B$22,$A15)+N(Aliments!$G$6)*SUMIFS('Aliment par vague'!$F$4:$F$22,Empoissonnement!$B$4:$B$22,$Q15)+N(Aliments!$H$6)*SUMIFS('Aliment par vague'!$F$4:$F$22,Empoissonnement!$B$4:$B$22,$R15))</f>
        <v>11250</v>
      </c>
      <c r="E15" s="13">
        <f>N(Aliments!$C$7)*(N(Aliments!$F$7)*SUMIFS('Aliment par vague'!$G$4:$G$22,Empoissonnement!$B$4:$B$22,$A15)+N(Aliments!$G$7)*SUMIFS('Aliment par vague'!$G$4:$G$22,Empoissonnement!$B$4:$B$22,$Q15)+N(Aliments!$H$7)*SUMIFS('Aliment par vague'!$G$4:$G$22,Empoissonnement!$B$4:$B$22,$R15))</f>
        <v>0</v>
      </c>
      <c r="F15" s="13">
        <f>N(Aliments!$C$8)*(N(Aliments!$F$8)*SUMIFS('Aliment par vague'!$H$4:$H$22,Empoissonnement!$B$4:$B$22,$A15)+N(Aliments!$G$8)*SUMIFS('Aliment par vague'!$H$4:$H$22,Empoissonnement!$B$4:$B$22,$Q15)+N(Aliments!$H$8)*SUMIFS('Aliment par vague'!$H$4:$H$22,Empoissonnement!$B$4:$B$22,$R15))</f>
        <v>0</v>
      </c>
      <c r="G15" s="13">
        <f>N(Aliments!$C$9)*(N(Aliments!$F$9)*SUMIFS('Aliment par vague'!$I$4:$I$22,Empoissonnement!$B$4:$B$22,$A15)+N(Aliments!$G$9)*SUMIFS('Aliment par vague'!$I$4:$I$22,Empoissonnement!$B$4:$B$22,$Q15)+N(Aliments!$H$9)*SUMIFS('Aliment par vague'!$I$4:$I$22,Empoissonnement!$B$4:$B$22,$R15))</f>
        <v>0</v>
      </c>
      <c r="H15" s="15">
        <f t="shared" si="0"/>
        <v>17100</v>
      </c>
      <c r="I15" s="13">
        <f>IF(Aliments!$C$4=0,0,IF(Aliments!$C$4="",0,ROUNDUP(B15/Aliments!$C$4,0)))</f>
        <v>120</v>
      </c>
      <c r="J15" s="13">
        <f>IF(Aliments!$C$5=0,0,IF(Aliments!$C$5="",0,ROUNDUP(C15/Aliments!$C$5,0)))</f>
        <v>270</v>
      </c>
      <c r="K15" s="13">
        <f>IF(Aliments!$C$6=0,0,IF(Aliments!$C$6="",0,ROUNDUP(D15/Aliments!$C$6,0)))</f>
        <v>750</v>
      </c>
      <c r="L15" s="13">
        <f>IF(Aliments!$C$7=0,0,IF(Aliments!$C$7="",0,ROUNDUP(E15/Aliments!$C$7,0)))</f>
        <v>0</v>
      </c>
      <c r="M15" s="13">
        <f>IF(Aliments!$C$8=0,0,IF(Aliments!$C$8="",0,ROUNDUP(F15/Aliments!$C$8,0)))</f>
        <v>0</v>
      </c>
      <c r="N15" s="13">
        <f>IF(Aliments!$C$9=0,0,IF(Aliments!$C$9="",0,ROUNDUP(G15/Aliments!$C$9,0)))</f>
        <v>0</v>
      </c>
      <c r="O15" s="13">
        <f>B15*Aliments!$E$4+C15*Aliments!$E$5+D15*Aliments!$E$6+E15*Aliments!$E$7+F15*Aliments!$E$8+G15*Aliments!$E$9</f>
        <v>18240000</v>
      </c>
      <c r="Q15" s="24">
        <f t="shared" si="1"/>
        <v>46508</v>
      </c>
      <c r="R15" s="24">
        <f t="shared" si="2"/>
        <v>46478</v>
      </c>
    </row>
    <row r="16" spans="1:18" x14ac:dyDescent="0.2">
      <c r="A16" s="23">
        <v>46569</v>
      </c>
      <c r="B16" s="13">
        <f>N(Aliments!$C$4)*(N(Aliments!$F$4)*SUMIFS('Aliment par vague'!$D$4:$D$22,Empoissonnement!$B$4:$B$22,$A16)+N(Aliments!$G$4)*SUMIFS('Aliment par vague'!$D$4:$D$22,Empoissonnement!$B$4:$B$22,$Q16)+N(Aliments!$H$4)*SUMIFS('Aliment par vague'!$D$4:$D$22,Empoissonnement!$B$4:$B$22,$R16))</f>
        <v>1800</v>
      </c>
      <c r="C16" s="13">
        <f>N(Aliments!$C$5)*(N(Aliments!$F$5)*SUMIFS('Aliment par vague'!$E$4:$E$22,Empoissonnement!$B$4:$B$22,$A16)+N(Aliments!$G$5)*SUMIFS('Aliment par vague'!$E$4:$E$22,Empoissonnement!$B$4:$B$22,$Q16)+N(Aliments!$H$5)*SUMIFS('Aliment par vague'!$E$4:$E$22,Empoissonnement!$B$4:$B$22,$R16))</f>
        <v>4050</v>
      </c>
      <c r="D16" s="13">
        <f>N(Aliments!$C$6)*(N(Aliments!$F$6)*SUMIFS('Aliment par vague'!$F$4:$F$22,Empoissonnement!$B$4:$B$22,$A16)+N(Aliments!$G$6)*SUMIFS('Aliment par vague'!$F$4:$F$22,Empoissonnement!$B$4:$B$22,$Q16)+N(Aliments!$H$6)*SUMIFS('Aliment par vague'!$F$4:$F$22,Empoissonnement!$B$4:$B$22,$R16))</f>
        <v>11250</v>
      </c>
      <c r="E16" s="13">
        <f>N(Aliments!$C$7)*(N(Aliments!$F$7)*SUMIFS('Aliment par vague'!$G$4:$G$22,Empoissonnement!$B$4:$B$22,$A16)+N(Aliments!$G$7)*SUMIFS('Aliment par vague'!$G$4:$G$22,Empoissonnement!$B$4:$B$22,$Q16)+N(Aliments!$H$7)*SUMIFS('Aliment par vague'!$G$4:$G$22,Empoissonnement!$B$4:$B$22,$R16))</f>
        <v>0</v>
      </c>
      <c r="F16" s="13">
        <f>N(Aliments!$C$8)*(N(Aliments!$F$8)*SUMIFS('Aliment par vague'!$H$4:$H$22,Empoissonnement!$B$4:$B$22,$A16)+N(Aliments!$G$8)*SUMIFS('Aliment par vague'!$H$4:$H$22,Empoissonnement!$B$4:$B$22,$Q16)+N(Aliments!$H$8)*SUMIFS('Aliment par vague'!$H$4:$H$22,Empoissonnement!$B$4:$B$22,$R16))</f>
        <v>0</v>
      </c>
      <c r="G16" s="13">
        <f>N(Aliments!$C$9)*(N(Aliments!$F$9)*SUMIFS('Aliment par vague'!$I$4:$I$22,Empoissonnement!$B$4:$B$22,$A16)+N(Aliments!$G$9)*SUMIFS('Aliment par vague'!$I$4:$I$22,Empoissonnement!$B$4:$B$22,$Q16)+N(Aliments!$H$9)*SUMIFS('Aliment par vague'!$I$4:$I$22,Empoissonnement!$B$4:$B$22,$R16))</f>
        <v>0</v>
      </c>
      <c r="H16" s="15">
        <f t="shared" si="0"/>
        <v>17100</v>
      </c>
      <c r="I16" s="13">
        <f>IF(Aliments!$C$4=0,0,IF(Aliments!$C$4="",0,ROUNDUP(B16/Aliments!$C$4,0)))</f>
        <v>120</v>
      </c>
      <c r="J16" s="13">
        <f>IF(Aliments!$C$5=0,0,IF(Aliments!$C$5="",0,ROUNDUP(C16/Aliments!$C$5,0)))</f>
        <v>270</v>
      </c>
      <c r="K16" s="13">
        <f>IF(Aliments!$C$6=0,0,IF(Aliments!$C$6="",0,ROUNDUP(D16/Aliments!$C$6,0)))</f>
        <v>750</v>
      </c>
      <c r="L16" s="13">
        <f>IF(Aliments!$C$7=0,0,IF(Aliments!$C$7="",0,ROUNDUP(E16/Aliments!$C$7,0)))</f>
        <v>0</v>
      </c>
      <c r="M16" s="13">
        <f>IF(Aliments!$C$8=0,0,IF(Aliments!$C$8="",0,ROUNDUP(F16/Aliments!$C$8,0)))</f>
        <v>0</v>
      </c>
      <c r="N16" s="13">
        <f>IF(Aliments!$C$9=0,0,IF(Aliments!$C$9="",0,ROUNDUP(G16/Aliments!$C$9,0)))</f>
        <v>0</v>
      </c>
      <c r="O16" s="13">
        <f>B16*Aliments!$E$4+C16*Aliments!$E$5+D16*Aliments!$E$6+E16*Aliments!$E$7+F16*Aliments!$E$8+G16*Aliments!$E$9</f>
        <v>18240000</v>
      </c>
      <c r="Q16" s="24">
        <f t="shared" si="1"/>
        <v>46539</v>
      </c>
      <c r="R16" s="24">
        <f t="shared" si="2"/>
        <v>46508</v>
      </c>
    </row>
    <row r="17" spans="1:18" x14ac:dyDescent="0.2">
      <c r="A17" s="23">
        <v>46600</v>
      </c>
      <c r="B17" s="13">
        <f>N(Aliments!$C$4)*(N(Aliments!$F$4)*SUMIFS('Aliment par vague'!$D$4:$D$22,Empoissonnement!$B$4:$B$22,$A17)+N(Aliments!$G$4)*SUMIFS('Aliment par vague'!$D$4:$D$22,Empoissonnement!$B$4:$B$22,$Q17)+N(Aliments!$H$4)*SUMIFS('Aliment par vague'!$D$4:$D$22,Empoissonnement!$B$4:$B$22,$R17))</f>
        <v>1800</v>
      </c>
      <c r="C17" s="13">
        <f>N(Aliments!$C$5)*(N(Aliments!$F$5)*SUMIFS('Aliment par vague'!$E$4:$E$22,Empoissonnement!$B$4:$B$22,$A17)+N(Aliments!$G$5)*SUMIFS('Aliment par vague'!$E$4:$E$22,Empoissonnement!$B$4:$B$22,$Q17)+N(Aliments!$H$5)*SUMIFS('Aliment par vague'!$E$4:$E$22,Empoissonnement!$B$4:$B$22,$R17))</f>
        <v>4050</v>
      </c>
      <c r="D17" s="13">
        <f>N(Aliments!$C$6)*(N(Aliments!$F$6)*SUMIFS('Aliment par vague'!$F$4:$F$22,Empoissonnement!$B$4:$B$22,$A17)+N(Aliments!$G$6)*SUMIFS('Aliment par vague'!$F$4:$F$22,Empoissonnement!$B$4:$B$22,$Q17)+N(Aliments!$H$6)*SUMIFS('Aliment par vague'!$F$4:$F$22,Empoissonnement!$B$4:$B$22,$R17))</f>
        <v>11250</v>
      </c>
      <c r="E17" s="13">
        <f>N(Aliments!$C$7)*(N(Aliments!$F$7)*SUMIFS('Aliment par vague'!$G$4:$G$22,Empoissonnement!$B$4:$B$22,$A17)+N(Aliments!$G$7)*SUMIFS('Aliment par vague'!$G$4:$G$22,Empoissonnement!$B$4:$B$22,$Q17)+N(Aliments!$H$7)*SUMIFS('Aliment par vague'!$G$4:$G$22,Empoissonnement!$B$4:$B$22,$R17))</f>
        <v>0</v>
      </c>
      <c r="F17" s="13">
        <f>N(Aliments!$C$8)*(N(Aliments!$F$8)*SUMIFS('Aliment par vague'!$H$4:$H$22,Empoissonnement!$B$4:$B$22,$A17)+N(Aliments!$G$8)*SUMIFS('Aliment par vague'!$H$4:$H$22,Empoissonnement!$B$4:$B$22,$Q17)+N(Aliments!$H$8)*SUMIFS('Aliment par vague'!$H$4:$H$22,Empoissonnement!$B$4:$B$22,$R17))</f>
        <v>0</v>
      </c>
      <c r="G17" s="13">
        <f>N(Aliments!$C$9)*(N(Aliments!$F$9)*SUMIFS('Aliment par vague'!$I$4:$I$22,Empoissonnement!$B$4:$B$22,$A17)+N(Aliments!$G$9)*SUMIFS('Aliment par vague'!$I$4:$I$22,Empoissonnement!$B$4:$B$22,$Q17)+N(Aliments!$H$9)*SUMIFS('Aliment par vague'!$I$4:$I$22,Empoissonnement!$B$4:$B$22,$R17))</f>
        <v>0</v>
      </c>
      <c r="H17" s="15">
        <f t="shared" si="0"/>
        <v>17100</v>
      </c>
      <c r="I17" s="13">
        <f>IF(Aliments!$C$4=0,0,IF(Aliments!$C$4="",0,ROUNDUP(B17/Aliments!$C$4,0)))</f>
        <v>120</v>
      </c>
      <c r="J17" s="13">
        <f>IF(Aliments!$C$5=0,0,IF(Aliments!$C$5="",0,ROUNDUP(C17/Aliments!$C$5,0)))</f>
        <v>270</v>
      </c>
      <c r="K17" s="13">
        <f>IF(Aliments!$C$6=0,0,IF(Aliments!$C$6="",0,ROUNDUP(D17/Aliments!$C$6,0)))</f>
        <v>750</v>
      </c>
      <c r="L17" s="13">
        <f>IF(Aliments!$C$7=0,0,IF(Aliments!$C$7="",0,ROUNDUP(E17/Aliments!$C$7,0)))</f>
        <v>0</v>
      </c>
      <c r="M17" s="13">
        <f>IF(Aliments!$C$8=0,0,IF(Aliments!$C$8="",0,ROUNDUP(F17/Aliments!$C$8,0)))</f>
        <v>0</v>
      </c>
      <c r="N17" s="13">
        <f>IF(Aliments!$C$9=0,0,IF(Aliments!$C$9="",0,ROUNDUP(G17/Aliments!$C$9,0)))</f>
        <v>0</v>
      </c>
      <c r="O17" s="13">
        <f>B17*Aliments!$E$4+C17*Aliments!$E$5+D17*Aliments!$E$6+E17*Aliments!$E$7+F17*Aliments!$E$8+G17*Aliments!$E$9</f>
        <v>18240000</v>
      </c>
      <c r="Q17" s="24">
        <f t="shared" si="1"/>
        <v>46569</v>
      </c>
      <c r="R17" s="24">
        <f t="shared" si="2"/>
        <v>46539</v>
      </c>
    </row>
    <row r="18" spans="1:18" x14ac:dyDescent="0.2">
      <c r="A18" s="23">
        <v>46631</v>
      </c>
      <c r="B18" s="13">
        <f>N(Aliments!$C$4)*(N(Aliments!$F$4)*SUMIFS('Aliment par vague'!$D$4:$D$22,Empoissonnement!$B$4:$B$22,$A18)+N(Aliments!$G$4)*SUMIFS('Aliment par vague'!$D$4:$D$22,Empoissonnement!$B$4:$B$22,$Q18)+N(Aliments!$H$4)*SUMIFS('Aliment par vague'!$D$4:$D$22,Empoissonnement!$B$4:$B$22,$R18))</f>
        <v>1800</v>
      </c>
      <c r="C18" s="13">
        <f>N(Aliments!$C$5)*(N(Aliments!$F$5)*SUMIFS('Aliment par vague'!$E$4:$E$22,Empoissonnement!$B$4:$B$22,$A18)+N(Aliments!$G$5)*SUMIFS('Aliment par vague'!$E$4:$E$22,Empoissonnement!$B$4:$B$22,$Q18)+N(Aliments!$H$5)*SUMIFS('Aliment par vague'!$E$4:$E$22,Empoissonnement!$B$4:$B$22,$R18))</f>
        <v>4050</v>
      </c>
      <c r="D18" s="13">
        <f>N(Aliments!$C$6)*(N(Aliments!$F$6)*SUMIFS('Aliment par vague'!$F$4:$F$22,Empoissonnement!$B$4:$B$22,$A18)+N(Aliments!$G$6)*SUMIFS('Aliment par vague'!$F$4:$F$22,Empoissonnement!$B$4:$B$22,$Q18)+N(Aliments!$H$6)*SUMIFS('Aliment par vague'!$F$4:$F$22,Empoissonnement!$B$4:$B$22,$R18))</f>
        <v>11250</v>
      </c>
      <c r="E18" s="13">
        <f>N(Aliments!$C$7)*(N(Aliments!$F$7)*SUMIFS('Aliment par vague'!$G$4:$G$22,Empoissonnement!$B$4:$B$22,$A18)+N(Aliments!$G$7)*SUMIFS('Aliment par vague'!$G$4:$G$22,Empoissonnement!$B$4:$B$22,$Q18)+N(Aliments!$H$7)*SUMIFS('Aliment par vague'!$G$4:$G$22,Empoissonnement!$B$4:$B$22,$R18))</f>
        <v>0</v>
      </c>
      <c r="F18" s="13">
        <f>N(Aliments!$C$8)*(N(Aliments!$F$8)*SUMIFS('Aliment par vague'!$H$4:$H$22,Empoissonnement!$B$4:$B$22,$A18)+N(Aliments!$G$8)*SUMIFS('Aliment par vague'!$H$4:$H$22,Empoissonnement!$B$4:$B$22,$Q18)+N(Aliments!$H$8)*SUMIFS('Aliment par vague'!$H$4:$H$22,Empoissonnement!$B$4:$B$22,$R18))</f>
        <v>0</v>
      </c>
      <c r="G18" s="13">
        <f>N(Aliments!$C$9)*(N(Aliments!$F$9)*SUMIFS('Aliment par vague'!$I$4:$I$22,Empoissonnement!$B$4:$B$22,$A18)+N(Aliments!$G$9)*SUMIFS('Aliment par vague'!$I$4:$I$22,Empoissonnement!$B$4:$B$22,$Q18)+N(Aliments!$H$9)*SUMIFS('Aliment par vague'!$I$4:$I$22,Empoissonnement!$B$4:$B$22,$R18))</f>
        <v>0</v>
      </c>
      <c r="H18" s="15">
        <f t="shared" si="0"/>
        <v>17100</v>
      </c>
      <c r="I18" s="13">
        <f>IF(Aliments!$C$4=0,0,IF(Aliments!$C$4="",0,ROUNDUP(B18/Aliments!$C$4,0)))</f>
        <v>120</v>
      </c>
      <c r="J18" s="13">
        <f>IF(Aliments!$C$5=0,0,IF(Aliments!$C$5="",0,ROUNDUP(C18/Aliments!$C$5,0)))</f>
        <v>270</v>
      </c>
      <c r="K18" s="13">
        <f>IF(Aliments!$C$6=0,0,IF(Aliments!$C$6="",0,ROUNDUP(D18/Aliments!$C$6,0)))</f>
        <v>750</v>
      </c>
      <c r="L18" s="13">
        <f>IF(Aliments!$C$7=0,0,IF(Aliments!$C$7="",0,ROUNDUP(E18/Aliments!$C$7,0)))</f>
        <v>0</v>
      </c>
      <c r="M18" s="13">
        <f>IF(Aliments!$C$8=0,0,IF(Aliments!$C$8="",0,ROUNDUP(F18/Aliments!$C$8,0)))</f>
        <v>0</v>
      </c>
      <c r="N18" s="13">
        <f>IF(Aliments!$C$9=0,0,IF(Aliments!$C$9="",0,ROUNDUP(G18/Aliments!$C$9,0)))</f>
        <v>0</v>
      </c>
      <c r="O18" s="13">
        <f>B18*Aliments!$E$4+C18*Aliments!$E$5+D18*Aliments!$E$6+E18*Aliments!$E$7+F18*Aliments!$E$8+G18*Aliments!$E$9</f>
        <v>18240000</v>
      </c>
      <c r="Q18" s="24">
        <f t="shared" si="1"/>
        <v>46600</v>
      </c>
      <c r="R18" s="24">
        <f t="shared" si="2"/>
        <v>46569</v>
      </c>
    </row>
    <row r="19" spans="1:18" x14ac:dyDescent="0.2">
      <c r="A19" s="23">
        <v>46661</v>
      </c>
      <c r="B19" s="13">
        <f>N(Aliments!$C$4)*(N(Aliments!$F$4)*SUMIFS('Aliment par vague'!$D$4:$D$22,Empoissonnement!$B$4:$B$22,$A19)+N(Aliments!$G$4)*SUMIFS('Aliment par vague'!$D$4:$D$22,Empoissonnement!$B$4:$B$22,$Q19)+N(Aliments!$H$4)*SUMIFS('Aliment par vague'!$D$4:$D$22,Empoissonnement!$B$4:$B$22,$R19))</f>
        <v>1800</v>
      </c>
      <c r="C19" s="13">
        <f>N(Aliments!$C$5)*(N(Aliments!$F$5)*SUMIFS('Aliment par vague'!$E$4:$E$22,Empoissonnement!$B$4:$B$22,$A19)+N(Aliments!$G$5)*SUMIFS('Aliment par vague'!$E$4:$E$22,Empoissonnement!$B$4:$B$22,$Q19)+N(Aliments!$H$5)*SUMIFS('Aliment par vague'!$E$4:$E$22,Empoissonnement!$B$4:$B$22,$R19))</f>
        <v>4050</v>
      </c>
      <c r="D19" s="13">
        <f>N(Aliments!$C$6)*(N(Aliments!$F$6)*SUMIFS('Aliment par vague'!$F$4:$F$22,Empoissonnement!$B$4:$B$22,$A19)+N(Aliments!$G$6)*SUMIFS('Aliment par vague'!$F$4:$F$22,Empoissonnement!$B$4:$B$22,$Q19)+N(Aliments!$H$6)*SUMIFS('Aliment par vague'!$F$4:$F$22,Empoissonnement!$B$4:$B$22,$R19))</f>
        <v>11250</v>
      </c>
      <c r="E19" s="13">
        <f>N(Aliments!$C$7)*(N(Aliments!$F$7)*SUMIFS('Aliment par vague'!$G$4:$G$22,Empoissonnement!$B$4:$B$22,$A19)+N(Aliments!$G$7)*SUMIFS('Aliment par vague'!$G$4:$G$22,Empoissonnement!$B$4:$B$22,$Q19)+N(Aliments!$H$7)*SUMIFS('Aliment par vague'!$G$4:$G$22,Empoissonnement!$B$4:$B$22,$R19))</f>
        <v>0</v>
      </c>
      <c r="F19" s="13">
        <f>N(Aliments!$C$8)*(N(Aliments!$F$8)*SUMIFS('Aliment par vague'!$H$4:$H$22,Empoissonnement!$B$4:$B$22,$A19)+N(Aliments!$G$8)*SUMIFS('Aliment par vague'!$H$4:$H$22,Empoissonnement!$B$4:$B$22,$Q19)+N(Aliments!$H$8)*SUMIFS('Aliment par vague'!$H$4:$H$22,Empoissonnement!$B$4:$B$22,$R19))</f>
        <v>0</v>
      </c>
      <c r="G19" s="13">
        <f>N(Aliments!$C$9)*(N(Aliments!$F$9)*SUMIFS('Aliment par vague'!$I$4:$I$22,Empoissonnement!$B$4:$B$22,$A19)+N(Aliments!$G$9)*SUMIFS('Aliment par vague'!$I$4:$I$22,Empoissonnement!$B$4:$B$22,$Q19)+N(Aliments!$H$9)*SUMIFS('Aliment par vague'!$I$4:$I$22,Empoissonnement!$B$4:$B$22,$R19))</f>
        <v>0</v>
      </c>
      <c r="H19" s="15">
        <f t="shared" si="0"/>
        <v>17100</v>
      </c>
      <c r="I19" s="13">
        <f>IF(Aliments!$C$4=0,0,IF(Aliments!$C$4="",0,ROUNDUP(B19/Aliments!$C$4,0)))</f>
        <v>120</v>
      </c>
      <c r="J19" s="13">
        <f>IF(Aliments!$C$5=0,0,IF(Aliments!$C$5="",0,ROUNDUP(C19/Aliments!$C$5,0)))</f>
        <v>270</v>
      </c>
      <c r="K19" s="13">
        <f>IF(Aliments!$C$6=0,0,IF(Aliments!$C$6="",0,ROUNDUP(D19/Aliments!$C$6,0)))</f>
        <v>750</v>
      </c>
      <c r="L19" s="13">
        <f>IF(Aliments!$C$7=0,0,IF(Aliments!$C$7="",0,ROUNDUP(E19/Aliments!$C$7,0)))</f>
        <v>0</v>
      </c>
      <c r="M19" s="13">
        <f>IF(Aliments!$C$8=0,0,IF(Aliments!$C$8="",0,ROUNDUP(F19/Aliments!$C$8,0)))</f>
        <v>0</v>
      </c>
      <c r="N19" s="13">
        <f>IF(Aliments!$C$9=0,0,IF(Aliments!$C$9="",0,ROUNDUP(G19/Aliments!$C$9,0)))</f>
        <v>0</v>
      </c>
      <c r="O19" s="13">
        <f>B19*Aliments!$E$4+C19*Aliments!$E$5+D19*Aliments!$E$6+E19*Aliments!$E$7+F19*Aliments!$E$8+G19*Aliments!$E$9</f>
        <v>18240000</v>
      </c>
      <c r="Q19" s="24">
        <f t="shared" si="1"/>
        <v>46631</v>
      </c>
      <c r="R19" s="24">
        <f t="shared" si="2"/>
        <v>46600</v>
      </c>
    </row>
    <row r="20" spans="1:18" x14ac:dyDescent="0.2">
      <c r="A20" s="23">
        <v>46692</v>
      </c>
      <c r="B20" s="13">
        <f>N(Aliments!$C$4)*(N(Aliments!$F$4)*SUMIFS('Aliment par vague'!$D$4:$D$22,Empoissonnement!$B$4:$B$22,$A20)+N(Aliments!$G$4)*SUMIFS('Aliment par vague'!$D$4:$D$22,Empoissonnement!$B$4:$B$22,$Q20)+N(Aliments!$H$4)*SUMIFS('Aliment par vague'!$D$4:$D$22,Empoissonnement!$B$4:$B$22,$R20))</f>
        <v>1800</v>
      </c>
      <c r="C20" s="13">
        <f>N(Aliments!$C$5)*(N(Aliments!$F$5)*SUMIFS('Aliment par vague'!$E$4:$E$22,Empoissonnement!$B$4:$B$22,$A20)+N(Aliments!$G$5)*SUMIFS('Aliment par vague'!$E$4:$E$22,Empoissonnement!$B$4:$B$22,$Q20)+N(Aliments!$H$5)*SUMIFS('Aliment par vague'!$E$4:$E$22,Empoissonnement!$B$4:$B$22,$R20))</f>
        <v>4050</v>
      </c>
      <c r="D20" s="13">
        <f>N(Aliments!$C$6)*(N(Aliments!$F$6)*SUMIFS('Aliment par vague'!$F$4:$F$22,Empoissonnement!$B$4:$B$22,$A20)+N(Aliments!$G$6)*SUMIFS('Aliment par vague'!$F$4:$F$22,Empoissonnement!$B$4:$B$22,$Q20)+N(Aliments!$H$6)*SUMIFS('Aliment par vague'!$F$4:$F$22,Empoissonnement!$B$4:$B$22,$R20))</f>
        <v>11250</v>
      </c>
      <c r="E20" s="13">
        <f>N(Aliments!$C$7)*(N(Aliments!$F$7)*SUMIFS('Aliment par vague'!$G$4:$G$22,Empoissonnement!$B$4:$B$22,$A20)+N(Aliments!$G$7)*SUMIFS('Aliment par vague'!$G$4:$G$22,Empoissonnement!$B$4:$B$22,$Q20)+N(Aliments!$H$7)*SUMIFS('Aliment par vague'!$G$4:$G$22,Empoissonnement!$B$4:$B$22,$R20))</f>
        <v>0</v>
      </c>
      <c r="F20" s="13">
        <f>N(Aliments!$C$8)*(N(Aliments!$F$8)*SUMIFS('Aliment par vague'!$H$4:$H$22,Empoissonnement!$B$4:$B$22,$A20)+N(Aliments!$G$8)*SUMIFS('Aliment par vague'!$H$4:$H$22,Empoissonnement!$B$4:$B$22,$Q20)+N(Aliments!$H$8)*SUMIFS('Aliment par vague'!$H$4:$H$22,Empoissonnement!$B$4:$B$22,$R20))</f>
        <v>0</v>
      </c>
      <c r="G20" s="13">
        <f>N(Aliments!$C$9)*(N(Aliments!$F$9)*SUMIFS('Aliment par vague'!$I$4:$I$22,Empoissonnement!$B$4:$B$22,$A20)+N(Aliments!$G$9)*SUMIFS('Aliment par vague'!$I$4:$I$22,Empoissonnement!$B$4:$B$22,$Q20)+N(Aliments!$H$9)*SUMIFS('Aliment par vague'!$I$4:$I$22,Empoissonnement!$B$4:$B$22,$R20))</f>
        <v>0</v>
      </c>
      <c r="H20" s="15">
        <f t="shared" si="0"/>
        <v>17100</v>
      </c>
      <c r="I20" s="13">
        <f>IF(Aliments!$C$4=0,0,IF(Aliments!$C$4="",0,ROUNDUP(B20/Aliments!$C$4,0)))</f>
        <v>120</v>
      </c>
      <c r="J20" s="13">
        <f>IF(Aliments!$C$5=0,0,IF(Aliments!$C$5="",0,ROUNDUP(C20/Aliments!$C$5,0)))</f>
        <v>270</v>
      </c>
      <c r="K20" s="13">
        <f>IF(Aliments!$C$6=0,0,IF(Aliments!$C$6="",0,ROUNDUP(D20/Aliments!$C$6,0)))</f>
        <v>750</v>
      </c>
      <c r="L20" s="13">
        <f>IF(Aliments!$C$7=0,0,IF(Aliments!$C$7="",0,ROUNDUP(E20/Aliments!$C$7,0)))</f>
        <v>0</v>
      </c>
      <c r="M20" s="13">
        <f>IF(Aliments!$C$8=0,0,IF(Aliments!$C$8="",0,ROUNDUP(F20/Aliments!$C$8,0)))</f>
        <v>0</v>
      </c>
      <c r="N20" s="13">
        <f>IF(Aliments!$C$9=0,0,IF(Aliments!$C$9="",0,ROUNDUP(G20/Aliments!$C$9,0)))</f>
        <v>0</v>
      </c>
      <c r="O20" s="13">
        <f>B20*Aliments!$E$4+C20*Aliments!$E$5+D20*Aliments!$E$6+E20*Aliments!$E$7+F20*Aliments!$E$8+G20*Aliments!$E$9</f>
        <v>18240000</v>
      </c>
      <c r="Q20" s="24">
        <f t="shared" si="1"/>
        <v>46661</v>
      </c>
      <c r="R20" s="24">
        <f t="shared" si="2"/>
        <v>46631</v>
      </c>
    </row>
    <row r="21" spans="1:18" x14ac:dyDescent="0.2">
      <c r="A21" s="23">
        <v>46722</v>
      </c>
      <c r="B21" s="13">
        <f>N(Aliments!$C$4)*(N(Aliments!$F$4)*SUMIFS('Aliment par vague'!$D$4:$D$22,Empoissonnement!$B$4:$B$22,$A21)+N(Aliments!$G$4)*SUMIFS('Aliment par vague'!$D$4:$D$22,Empoissonnement!$B$4:$B$22,$Q21)+N(Aliments!$H$4)*SUMIFS('Aliment par vague'!$D$4:$D$22,Empoissonnement!$B$4:$B$22,$R21))</f>
        <v>1800</v>
      </c>
      <c r="C21" s="13">
        <f>N(Aliments!$C$5)*(N(Aliments!$F$5)*SUMIFS('Aliment par vague'!$E$4:$E$22,Empoissonnement!$B$4:$B$22,$A21)+N(Aliments!$G$5)*SUMIFS('Aliment par vague'!$E$4:$E$22,Empoissonnement!$B$4:$B$22,$Q21)+N(Aliments!$H$5)*SUMIFS('Aliment par vague'!$E$4:$E$22,Empoissonnement!$B$4:$B$22,$R21))</f>
        <v>4050</v>
      </c>
      <c r="D21" s="13">
        <f>N(Aliments!$C$6)*(N(Aliments!$F$6)*SUMIFS('Aliment par vague'!$F$4:$F$22,Empoissonnement!$B$4:$B$22,$A21)+N(Aliments!$G$6)*SUMIFS('Aliment par vague'!$F$4:$F$22,Empoissonnement!$B$4:$B$22,$Q21)+N(Aliments!$H$6)*SUMIFS('Aliment par vague'!$F$4:$F$22,Empoissonnement!$B$4:$B$22,$R21))</f>
        <v>11250</v>
      </c>
      <c r="E21" s="13">
        <f>N(Aliments!$C$7)*(N(Aliments!$F$7)*SUMIFS('Aliment par vague'!$G$4:$G$22,Empoissonnement!$B$4:$B$22,$A21)+N(Aliments!$G$7)*SUMIFS('Aliment par vague'!$G$4:$G$22,Empoissonnement!$B$4:$B$22,$Q21)+N(Aliments!$H$7)*SUMIFS('Aliment par vague'!$G$4:$G$22,Empoissonnement!$B$4:$B$22,$R21))</f>
        <v>0</v>
      </c>
      <c r="F21" s="13">
        <f>N(Aliments!$C$8)*(N(Aliments!$F$8)*SUMIFS('Aliment par vague'!$H$4:$H$22,Empoissonnement!$B$4:$B$22,$A21)+N(Aliments!$G$8)*SUMIFS('Aliment par vague'!$H$4:$H$22,Empoissonnement!$B$4:$B$22,$Q21)+N(Aliments!$H$8)*SUMIFS('Aliment par vague'!$H$4:$H$22,Empoissonnement!$B$4:$B$22,$R21))</f>
        <v>0</v>
      </c>
      <c r="G21" s="13">
        <f>N(Aliments!$C$9)*(N(Aliments!$F$9)*SUMIFS('Aliment par vague'!$I$4:$I$22,Empoissonnement!$B$4:$B$22,$A21)+N(Aliments!$G$9)*SUMIFS('Aliment par vague'!$I$4:$I$22,Empoissonnement!$B$4:$B$22,$Q21)+N(Aliments!$H$9)*SUMIFS('Aliment par vague'!$I$4:$I$22,Empoissonnement!$B$4:$B$22,$R21))</f>
        <v>0</v>
      </c>
      <c r="H21" s="15">
        <f t="shared" si="0"/>
        <v>17100</v>
      </c>
      <c r="I21" s="13">
        <f>IF(Aliments!$C$4=0,0,IF(Aliments!$C$4="",0,ROUNDUP(B21/Aliments!$C$4,0)))</f>
        <v>120</v>
      </c>
      <c r="J21" s="13">
        <f>IF(Aliments!$C$5=0,0,IF(Aliments!$C$5="",0,ROUNDUP(C21/Aliments!$C$5,0)))</f>
        <v>270</v>
      </c>
      <c r="K21" s="13">
        <f>IF(Aliments!$C$6=0,0,IF(Aliments!$C$6="",0,ROUNDUP(D21/Aliments!$C$6,0)))</f>
        <v>750</v>
      </c>
      <c r="L21" s="13">
        <f>IF(Aliments!$C$7=0,0,IF(Aliments!$C$7="",0,ROUNDUP(E21/Aliments!$C$7,0)))</f>
        <v>0</v>
      </c>
      <c r="M21" s="13">
        <f>IF(Aliments!$C$8=0,0,IF(Aliments!$C$8="",0,ROUNDUP(F21/Aliments!$C$8,0)))</f>
        <v>0</v>
      </c>
      <c r="N21" s="13">
        <f>IF(Aliments!$C$9=0,0,IF(Aliments!$C$9="",0,ROUNDUP(G21/Aliments!$C$9,0)))</f>
        <v>0</v>
      </c>
      <c r="O21" s="13">
        <f>B21*Aliments!$E$4+C21*Aliments!$E$5+D21*Aliments!$E$6+E21*Aliments!$E$7+F21*Aliments!$E$8+G21*Aliments!$E$9</f>
        <v>18240000</v>
      </c>
      <c r="Q21" s="24">
        <f t="shared" si="1"/>
        <v>46692</v>
      </c>
      <c r="R21" s="24">
        <f t="shared" si="2"/>
        <v>46661</v>
      </c>
    </row>
    <row r="22" spans="1:18" x14ac:dyDescent="0.2">
      <c r="A22" s="36">
        <v>46753</v>
      </c>
      <c r="B22" s="13">
        <f>N(Aliments!$C$4)*(N(Aliments!$F$4)*SUMIFS('Aliment par vague'!$D$4:$D$22,Empoissonnement!$B$4:$B$22,$A22)+N(Aliments!$G$4)*SUMIFS('Aliment par vague'!$D$4:$D$22,Empoissonnement!$B$4:$B$22,$Q22)+N(Aliments!$H$4)*SUMIFS('Aliment par vague'!$D$4:$D$22,Empoissonnement!$B$4:$B$22,$R22))</f>
        <v>1800</v>
      </c>
      <c r="C22" s="13">
        <f>N(Aliments!$C$5)*(N(Aliments!$F$5)*SUMIFS('Aliment par vague'!$E$4:$E$22,Empoissonnement!$B$4:$B$22,$A22)+N(Aliments!$G$5)*SUMIFS('Aliment par vague'!$E$4:$E$22,Empoissonnement!$B$4:$B$22,$Q22)+N(Aliments!$H$5)*SUMIFS('Aliment par vague'!$E$4:$E$22,Empoissonnement!$B$4:$B$22,$R22))</f>
        <v>4050</v>
      </c>
      <c r="D22" s="13">
        <f>N(Aliments!$C$6)*(N(Aliments!$F$6)*SUMIFS('Aliment par vague'!$F$4:$F$22,Empoissonnement!$B$4:$B$22,$A22)+N(Aliments!$G$6)*SUMIFS('Aliment par vague'!$F$4:$F$22,Empoissonnement!$B$4:$B$22,$Q22)+N(Aliments!$H$6)*SUMIFS('Aliment par vague'!$F$4:$F$22,Empoissonnement!$B$4:$B$22,$R22))</f>
        <v>11250</v>
      </c>
      <c r="E22" s="13">
        <f>N(Aliments!$C$7)*(N(Aliments!$F$7)*SUMIFS('Aliment par vague'!$G$4:$G$22,Empoissonnement!$B$4:$B$22,$A22)+N(Aliments!$G$7)*SUMIFS('Aliment par vague'!$G$4:$G$22,Empoissonnement!$B$4:$B$22,$Q22)+N(Aliments!$H$7)*SUMIFS('Aliment par vague'!$G$4:$G$22,Empoissonnement!$B$4:$B$22,$R22))</f>
        <v>0</v>
      </c>
      <c r="F22" s="13">
        <f>N(Aliments!$C$8)*(N(Aliments!$F$8)*SUMIFS('Aliment par vague'!$H$4:$H$22,Empoissonnement!$B$4:$B$22,$A22)+N(Aliments!$G$8)*SUMIFS('Aliment par vague'!$H$4:$H$22,Empoissonnement!$B$4:$B$22,$Q22)+N(Aliments!$H$8)*SUMIFS('Aliment par vague'!$H$4:$H$22,Empoissonnement!$B$4:$B$22,$R22))</f>
        <v>0</v>
      </c>
      <c r="G22" s="13">
        <f>N(Aliments!$C$9)*(N(Aliments!$F$9)*SUMIFS('Aliment par vague'!$I$4:$I$22,Empoissonnement!$B$4:$B$22,$A22)+N(Aliments!$G$9)*SUMIFS('Aliment par vague'!$I$4:$I$22,Empoissonnement!$B$4:$B$22,$Q22)+N(Aliments!$H$9)*SUMIFS('Aliment par vague'!$I$4:$I$22,Empoissonnement!$B$4:$B$22,$R22))</f>
        <v>0</v>
      </c>
      <c r="H22" s="15">
        <f t="shared" ref="H22:H25" si="3">SUM(B22:G22)</f>
        <v>17100</v>
      </c>
      <c r="I22" s="13">
        <f>IF(Aliments!$C$4=0,0,IF(Aliments!$C$4="",0,ROUNDUP(B22/Aliments!$C$4,0)))</f>
        <v>120</v>
      </c>
      <c r="J22" s="13">
        <f>IF(Aliments!$C$5=0,0,IF(Aliments!$C$5="",0,ROUNDUP(C22/Aliments!$C$5,0)))</f>
        <v>270</v>
      </c>
      <c r="K22" s="13">
        <f>IF(Aliments!$C$6=0,0,IF(Aliments!$C$6="",0,ROUNDUP(D22/Aliments!$C$6,0)))</f>
        <v>750</v>
      </c>
      <c r="L22" s="13">
        <f>IF(Aliments!$C$7=0,0,IF(Aliments!$C$7="",0,ROUNDUP(E22/Aliments!$C$7,0)))</f>
        <v>0</v>
      </c>
      <c r="M22" s="13">
        <f>IF(Aliments!$C$8=0,0,IF(Aliments!$C$8="",0,ROUNDUP(F22/Aliments!$C$8,0)))</f>
        <v>0</v>
      </c>
      <c r="N22" s="13">
        <f>IF(Aliments!$C$9=0,0,IF(Aliments!$C$9="",0,ROUNDUP(G22/Aliments!$C$9,0)))</f>
        <v>0</v>
      </c>
      <c r="O22" s="13">
        <f>B22*Aliments!$E$4+C22*Aliments!$E$5+D22*Aliments!$E$6+E22*Aliments!$E$7+F22*Aliments!$E$8+G22*Aliments!$E$9</f>
        <v>18240000</v>
      </c>
      <c r="Q22" s="24">
        <f t="shared" si="1"/>
        <v>46722</v>
      </c>
      <c r="R22" s="24">
        <f t="shared" si="2"/>
        <v>46692</v>
      </c>
    </row>
    <row r="23" spans="1:18" x14ac:dyDescent="0.2">
      <c r="A23" s="36">
        <v>46784</v>
      </c>
      <c r="B23" s="13">
        <f>N(Aliments!$C$4)*(N(Aliments!$F$4)*SUMIFS('Aliment par vague'!$D$4:$D$22,Empoissonnement!$B$4:$B$22,$A23)+N(Aliments!$G$4)*SUMIFS('Aliment par vague'!$D$4:$D$22,Empoissonnement!$B$4:$B$22,$Q23)+N(Aliments!$H$4)*SUMIFS('Aliment par vague'!$D$4:$D$22,Empoissonnement!$B$4:$B$22,$R23))</f>
        <v>1800</v>
      </c>
      <c r="C23" s="13">
        <f>N(Aliments!$C$5)*(N(Aliments!$F$5)*SUMIFS('Aliment par vague'!$E$4:$E$22,Empoissonnement!$B$4:$B$22,$A23)+N(Aliments!$G$5)*SUMIFS('Aliment par vague'!$E$4:$E$22,Empoissonnement!$B$4:$B$22,$Q23)+N(Aliments!$H$5)*SUMIFS('Aliment par vague'!$E$4:$E$22,Empoissonnement!$B$4:$B$22,$R23))</f>
        <v>4050</v>
      </c>
      <c r="D23" s="13">
        <f>N(Aliments!$C$6)*(N(Aliments!$F$6)*SUMIFS('Aliment par vague'!$F$4:$F$22,Empoissonnement!$B$4:$B$22,$A23)+N(Aliments!$G$6)*SUMIFS('Aliment par vague'!$F$4:$F$22,Empoissonnement!$B$4:$B$22,$Q23)+N(Aliments!$H$6)*SUMIFS('Aliment par vague'!$F$4:$F$22,Empoissonnement!$B$4:$B$22,$R23))</f>
        <v>11250</v>
      </c>
      <c r="E23" s="13">
        <f>N(Aliments!$C$7)*(N(Aliments!$F$7)*SUMIFS('Aliment par vague'!$G$4:$G$22,Empoissonnement!$B$4:$B$22,$A23)+N(Aliments!$G$7)*SUMIFS('Aliment par vague'!$G$4:$G$22,Empoissonnement!$B$4:$B$22,$Q23)+N(Aliments!$H$7)*SUMIFS('Aliment par vague'!$G$4:$G$22,Empoissonnement!$B$4:$B$22,$R23))</f>
        <v>0</v>
      </c>
      <c r="F23" s="13">
        <f>N(Aliments!$C$8)*(N(Aliments!$F$8)*SUMIFS('Aliment par vague'!$H$4:$H$22,Empoissonnement!$B$4:$B$22,$A23)+N(Aliments!$G$8)*SUMIFS('Aliment par vague'!$H$4:$H$22,Empoissonnement!$B$4:$B$22,$Q23)+N(Aliments!$H$8)*SUMIFS('Aliment par vague'!$H$4:$H$22,Empoissonnement!$B$4:$B$22,$R23))</f>
        <v>0</v>
      </c>
      <c r="G23" s="13">
        <f>N(Aliments!$C$9)*(N(Aliments!$F$9)*SUMIFS('Aliment par vague'!$I$4:$I$22,Empoissonnement!$B$4:$B$22,$A23)+N(Aliments!$G$9)*SUMIFS('Aliment par vague'!$I$4:$I$22,Empoissonnement!$B$4:$B$22,$Q23)+N(Aliments!$H$9)*SUMIFS('Aliment par vague'!$I$4:$I$22,Empoissonnement!$B$4:$B$22,$R23))</f>
        <v>0</v>
      </c>
      <c r="H23" s="15">
        <f t="shared" si="3"/>
        <v>17100</v>
      </c>
      <c r="I23" s="13">
        <f>IF(Aliments!$C$4=0,0,IF(Aliments!$C$4="",0,ROUNDUP(B23/Aliments!$C$4,0)))</f>
        <v>120</v>
      </c>
      <c r="J23" s="13">
        <f>IF(Aliments!$C$5=0,0,IF(Aliments!$C$5="",0,ROUNDUP(C23/Aliments!$C$5,0)))</f>
        <v>270</v>
      </c>
      <c r="K23" s="13">
        <f>IF(Aliments!$C$6=0,0,IF(Aliments!$C$6="",0,ROUNDUP(D23/Aliments!$C$6,0)))</f>
        <v>750</v>
      </c>
      <c r="L23" s="13">
        <f>IF(Aliments!$C$7=0,0,IF(Aliments!$C$7="",0,ROUNDUP(E23/Aliments!$C$7,0)))</f>
        <v>0</v>
      </c>
      <c r="M23" s="13">
        <f>IF(Aliments!$C$8=0,0,IF(Aliments!$C$8="",0,ROUNDUP(F23/Aliments!$C$8,0)))</f>
        <v>0</v>
      </c>
      <c r="N23" s="13">
        <f>IF(Aliments!$C$9=0,0,IF(Aliments!$C$9="",0,ROUNDUP(G23/Aliments!$C$9,0)))</f>
        <v>0</v>
      </c>
      <c r="O23" s="13">
        <f>B23*Aliments!$E$4+C23*Aliments!$E$5+D23*Aliments!$E$6+E23*Aliments!$E$7+F23*Aliments!$E$8+G23*Aliments!$E$9</f>
        <v>18240000</v>
      </c>
      <c r="Q23" s="24">
        <f t="shared" si="1"/>
        <v>46753</v>
      </c>
      <c r="R23" s="24">
        <f t="shared" si="2"/>
        <v>46722</v>
      </c>
    </row>
    <row r="24" spans="1:18" x14ac:dyDescent="0.2">
      <c r="A24" s="36">
        <v>46813</v>
      </c>
      <c r="B24" s="13">
        <f>N(Aliments!$C$4)*(N(Aliments!$F$4)*SUMIFS('Aliment par vague'!$D$4:$D$22,Empoissonnement!$B$4:$B$22,$A24)+N(Aliments!$G$4)*SUMIFS('Aliment par vague'!$D$4:$D$22,Empoissonnement!$B$4:$B$22,$Q24)+N(Aliments!$H$4)*SUMIFS('Aliment par vague'!$D$4:$D$22,Empoissonnement!$B$4:$B$22,$R24))</f>
        <v>360</v>
      </c>
      <c r="C24" s="13">
        <f>N(Aliments!$C$5)*(N(Aliments!$F$5)*SUMIFS('Aliment par vague'!$E$4:$E$22,Empoissonnement!$B$4:$B$22,$A24)+N(Aliments!$G$5)*SUMIFS('Aliment par vague'!$E$4:$E$22,Empoissonnement!$B$4:$B$22,$Q24)+N(Aliments!$H$5)*SUMIFS('Aliment par vague'!$E$4:$E$22,Empoissonnement!$B$4:$B$22,$R24))</f>
        <v>3240</v>
      </c>
      <c r="D24" s="13">
        <f>N(Aliments!$C$6)*(N(Aliments!$F$6)*SUMIFS('Aliment par vague'!$F$4:$F$22,Empoissonnement!$B$4:$B$22,$A24)+N(Aliments!$G$6)*SUMIFS('Aliment par vague'!$F$4:$F$22,Empoissonnement!$B$4:$B$22,$Q24)+N(Aliments!$H$6)*SUMIFS('Aliment par vague'!$F$4:$F$22,Empoissonnement!$B$4:$B$22,$R24))</f>
        <v>11250</v>
      </c>
      <c r="E24" s="13">
        <f>N(Aliments!$C$7)*(N(Aliments!$F$7)*SUMIFS('Aliment par vague'!$G$4:$G$22,Empoissonnement!$B$4:$B$22,$A24)+N(Aliments!$G$7)*SUMIFS('Aliment par vague'!$G$4:$G$22,Empoissonnement!$B$4:$B$22,$Q24)+N(Aliments!$H$7)*SUMIFS('Aliment par vague'!$G$4:$G$22,Empoissonnement!$B$4:$B$22,$R24))</f>
        <v>0</v>
      </c>
      <c r="F24" s="13">
        <f>N(Aliments!$C$8)*(N(Aliments!$F$8)*SUMIFS('Aliment par vague'!$H$4:$H$22,Empoissonnement!$B$4:$B$22,$A24)+N(Aliments!$G$8)*SUMIFS('Aliment par vague'!$H$4:$H$22,Empoissonnement!$B$4:$B$22,$Q24)+N(Aliments!$H$8)*SUMIFS('Aliment par vague'!$H$4:$H$22,Empoissonnement!$B$4:$B$22,$R24))</f>
        <v>0</v>
      </c>
      <c r="G24" s="13">
        <f>N(Aliments!$C$9)*(N(Aliments!$F$9)*SUMIFS('Aliment par vague'!$I$4:$I$22,Empoissonnement!$B$4:$B$22,$A24)+N(Aliments!$G$9)*SUMIFS('Aliment par vague'!$I$4:$I$22,Empoissonnement!$B$4:$B$22,$Q24)+N(Aliments!$H$9)*SUMIFS('Aliment par vague'!$I$4:$I$22,Empoissonnement!$B$4:$B$22,$R24))</f>
        <v>0</v>
      </c>
      <c r="H24" s="15">
        <f t="shared" si="3"/>
        <v>14850</v>
      </c>
      <c r="I24" s="13">
        <f>IF(Aliments!$C$4=0,0,IF(Aliments!$C$4="",0,ROUNDUP(B24/Aliments!$C$4,0)))</f>
        <v>24</v>
      </c>
      <c r="J24" s="13">
        <f>IF(Aliments!$C$5=0,0,IF(Aliments!$C$5="",0,ROUNDUP(C24/Aliments!$C$5,0)))</f>
        <v>216</v>
      </c>
      <c r="K24" s="13">
        <f>IF(Aliments!$C$6=0,0,IF(Aliments!$C$6="",0,ROUNDUP(D24/Aliments!$C$6,0)))</f>
        <v>750</v>
      </c>
      <c r="L24" s="13">
        <f>IF(Aliments!$C$7=0,0,IF(Aliments!$C$7="",0,ROUNDUP(E24/Aliments!$C$7,0)))</f>
        <v>0</v>
      </c>
      <c r="M24" s="13">
        <f>IF(Aliments!$C$8=0,0,IF(Aliments!$C$8="",0,ROUNDUP(F24/Aliments!$C$8,0)))</f>
        <v>0</v>
      </c>
      <c r="N24" s="13">
        <f>IF(Aliments!$C$9=0,0,IF(Aliments!$C$9="",0,ROUNDUP(G24/Aliments!$C$9,0)))</f>
        <v>0</v>
      </c>
      <c r="O24" s="13">
        <f>B24*Aliments!$E$4+C24*Aliments!$E$5+D24*Aliments!$E$6+E24*Aliments!$E$7+F24*Aliments!$E$8+G24*Aliments!$E$9</f>
        <v>15621000</v>
      </c>
      <c r="Q24" s="24">
        <f t="shared" si="1"/>
        <v>46784</v>
      </c>
      <c r="R24" s="24">
        <f t="shared" si="2"/>
        <v>46753</v>
      </c>
    </row>
    <row r="25" spans="1:18" x14ac:dyDescent="0.2">
      <c r="A25" s="36">
        <v>46844</v>
      </c>
      <c r="B25" s="13">
        <f>N(Aliments!$C$4)*(N(Aliments!$F$4)*SUMIFS('Aliment par vague'!$D$4:$D$22,Empoissonnement!$B$4:$B$22,$A25)+N(Aliments!$G$4)*SUMIFS('Aliment par vague'!$D$4:$D$22,Empoissonnement!$B$4:$B$22,$Q25)+N(Aliments!$H$4)*SUMIFS('Aliment par vague'!$D$4:$D$22,Empoissonnement!$B$4:$B$22,$R25))</f>
        <v>0</v>
      </c>
      <c r="C25" s="13">
        <f>N(Aliments!$C$5)*(N(Aliments!$F$5)*SUMIFS('Aliment par vague'!$E$4:$E$22,Empoissonnement!$B$4:$B$22,$A25)+N(Aliments!$G$5)*SUMIFS('Aliment par vague'!$E$4:$E$22,Empoissonnement!$B$4:$B$22,$Q25)+N(Aliments!$H$5)*SUMIFS('Aliment par vague'!$E$4:$E$22,Empoissonnement!$B$4:$B$22,$R25))</f>
        <v>0</v>
      </c>
      <c r="D25" s="13">
        <f>N(Aliments!$C$6)*(N(Aliments!$F$6)*SUMIFS('Aliment par vague'!$F$4:$F$22,Empoissonnement!$B$4:$B$22,$A25)+N(Aliments!$G$6)*SUMIFS('Aliment par vague'!$F$4:$F$22,Empoissonnement!$B$4:$B$22,$Q25)+N(Aliments!$H$6)*SUMIFS('Aliment par vague'!$F$4:$F$22,Empoissonnement!$B$4:$B$22,$R25))</f>
        <v>6750</v>
      </c>
      <c r="E25" s="13">
        <f>N(Aliments!$C$7)*(N(Aliments!$F$7)*SUMIFS('Aliment par vague'!$G$4:$G$22,Empoissonnement!$B$4:$B$22,$A25)+N(Aliments!$G$7)*SUMIFS('Aliment par vague'!$G$4:$G$22,Empoissonnement!$B$4:$B$22,$Q25)+N(Aliments!$H$7)*SUMIFS('Aliment par vague'!$G$4:$G$22,Empoissonnement!$B$4:$B$22,$R25))</f>
        <v>0</v>
      </c>
      <c r="F25" s="13">
        <f>N(Aliments!$C$8)*(N(Aliments!$F$8)*SUMIFS('Aliment par vague'!$H$4:$H$22,Empoissonnement!$B$4:$B$22,$A25)+N(Aliments!$G$8)*SUMIFS('Aliment par vague'!$H$4:$H$22,Empoissonnement!$B$4:$B$22,$Q25)+N(Aliments!$H$8)*SUMIFS('Aliment par vague'!$H$4:$H$22,Empoissonnement!$B$4:$B$22,$R25))</f>
        <v>0</v>
      </c>
      <c r="G25" s="13">
        <f>N(Aliments!$C$9)*(N(Aliments!$F$9)*SUMIFS('Aliment par vague'!$I$4:$I$22,Empoissonnement!$B$4:$B$22,$A25)+N(Aliments!$G$9)*SUMIFS('Aliment par vague'!$I$4:$I$22,Empoissonnement!$B$4:$B$22,$Q25)+N(Aliments!$H$9)*SUMIFS('Aliment par vague'!$I$4:$I$22,Empoissonnement!$B$4:$B$22,$R25))</f>
        <v>0</v>
      </c>
      <c r="H25" s="15">
        <f t="shared" si="3"/>
        <v>6750</v>
      </c>
      <c r="I25" s="13">
        <f>IF(Aliments!$C$4=0,0,IF(Aliments!$C$4="",0,ROUNDUP(B25/Aliments!$C$4,0)))</f>
        <v>0</v>
      </c>
      <c r="J25" s="13">
        <f>IF(Aliments!$C$5=0,0,IF(Aliments!$C$5="",0,ROUNDUP(C25/Aliments!$C$5,0)))</f>
        <v>0</v>
      </c>
      <c r="K25" s="13">
        <f>IF(Aliments!$C$6=0,0,IF(Aliments!$C$6="",0,ROUNDUP(D25/Aliments!$C$6,0)))</f>
        <v>450</v>
      </c>
      <c r="L25" s="13">
        <f>IF(Aliments!$C$7=0,0,IF(Aliments!$C$7="",0,ROUNDUP(E25/Aliments!$C$7,0)))</f>
        <v>0</v>
      </c>
      <c r="M25" s="13">
        <f>IF(Aliments!$C$8=0,0,IF(Aliments!$C$8="",0,ROUNDUP(F25/Aliments!$C$8,0)))</f>
        <v>0</v>
      </c>
      <c r="N25" s="13">
        <f>IF(Aliments!$C$9=0,0,IF(Aliments!$C$9="",0,ROUNDUP(G25/Aliments!$C$9,0)))</f>
        <v>0</v>
      </c>
      <c r="O25" s="13">
        <f>B25*Aliments!$E$4+C25*Aliments!$E$5+D25*Aliments!$E$6+E25*Aliments!$E$7+F25*Aliments!$E$8+G25*Aliments!$E$9</f>
        <v>6974999.9999999991</v>
      </c>
      <c r="Q25" s="24">
        <f t="shared" si="1"/>
        <v>46813</v>
      </c>
      <c r="R25" s="24">
        <f t="shared" si="2"/>
        <v>46784</v>
      </c>
    </row>
    <row r="26" spans="1:18" x14ac:dyDescent="0.2">
      <c r="A26" s="14" t="s">
        <v>89</v>
      </c>
      <c r="B26" s="15">
        <f t="shared" ref="B26:O26" si="4">SUM(B5:B25)</f>
        <v>28920</v>
      </c>
      <c r="C26" s="15">
        <f t="shared" si="4"/>
        <v>65070</v>
      </c>
      <c r="D26" s="15">
        <f t="shared" si="4"/>
        <v>180750</v>
      </c>
      <c r="E26" s="15">
        <f t="shared" si="4"/>
        <v>0</v>
      </c>
      <c r="F26" s="15">
        <f t="shared" si="4"/>
        <v>0</v>
      </c>
      <c r="G26" s="15">
        <f t="shared" si="4"/>
        <v>0</v>
      </c>
      <c r="H26" s="15">
        <f t="shared" si="4"/>
        <v>274740</v>
      </c>
      <c r="I26" s="15">
        <f t="shared" si="4"/>
        <v>1930</v>
      </c>
      <c r="J26" s="15">
        <f t="shared" si="4"/>
        <v>4341</v>
      </c>
      <c r="K26" s="15">
        <f t="shared" si="4"/>
        <v>12050</v>
      </c>
      <c r="L26" s="15">
        <f t="shared" si="4"/>
        <v>0</v>
      </c>
      <c r="M26" s="15">
        <f t="shared" si="4"/>
        <v>0</v>
      </c>
      <c r="N26" s="15">
        <f t="shared" si="4"/>
        <v>0</v>
      </c>
      <c r="O26" s="15">
        <f t="shared" si="4"/>
        <v>293056000</v>
      </c>
    </row>
  </sheetData>
  <mergeCells count="2">
    <mergeCell ref="B3:H3"/>
    <mergeCell ref="I3:N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442B4-4B2A-B341-B7B0-D8790D80B61A}">
  <dimension ref="A1:W38"/>
  <sheetViews>
    <sheetView workbookViewId="0">
      <pane xSplit="1" ySplit="3" topLeftCell="B4" activePane="bottomRight" state="frozen"/>
      <selection pane="topRight" activeCell="B1" sqref="B1"/>
      <selection pane="bottomLeft" activeCell="A4" sqref="A4"/>
      <selection pane="bottomRight" activeCell="K34" sqref="K34"/>
    </sheetView>
  </sheetViews>
  <sheetFormatPr baseColWidth="10" defaultRowHeight="15" x14ac:dyDescent="0.2"/>
  <cols>
    <col min="1" max="1" width="141.33203125" bestFit="1" customWidth="1"/>
    <col min="2" max="23" width="13" customWidth="1"/>
  </cols>
  <sheetData>
    <row r="1" spans="1:23" ht="17" x14ac:dyDescent="0.2">
      <c r="A1" s="47" t="s">
        <v>162</v>
      </c>
    </row>
    <row r="2" spans="1:23" x14ac:dyDescent="0.2">
      <c r="A2" s="48" t="s">
        <v>163</v>
      </c>
    </row>
    <row r="3" spans="1:23" ht="22" customHeight="1" x14ac:dyDescent="0.2">
      <c r="A3" s="51" t="s">
        <v>164</v>
      </c>
      <c r="B3" s="65">
        <f>Prévisions!B$3</f>
        <v>46235</v>
      </c>
      <c r="C3" s="65">
        <f>Prévisions!C$3</f>
        <v>46266</v>
      </c>
      <c r="D3" s="65">
        <f>Prévisions!D$3</f>
        <v>46296</v>
      </c>
      <c r="E3" s="65">
        <f>Prévisions!E$3</f>
        <v>46327</v>
      </c>
      <c r="F3" s="65">
        <f>Prévisions!F$3</f>
        <v>46357</v>
      </c>
      <c r="G3" s="65">
        <f>Prévisions!G$3</f>
        <v>46388</v>
      </c>
      <c r="H3" s="65">
        <f>Prévisions!H$3</f>
        <v>46419</v>
      </c>
      <c r="I3" s="65">
        <f>Prévisions!I$3</f>
        <v>46447</v>
      </c>
      <c r="J3" s="65">
        <f>Prévisions!J$3</f>
        <v>46478</v>
      </c>
      <c r="K3" s="65">
        <f>Prévisions!K$3</f>
        <v>46508</v>
      </c>
      <c r="L3" s="65">
        <f>Prévisions!L$3</f>
        <v>46539</v>
      </c>
      <c r="M3" s="65">
        <f>Prévisions!M$3</f>
        <v>46569</v>
      </c>
      <c r="N3" s="65">
        <f>Prévisions!N$3</f>
        <v>46600</v>
      </c>
      <c r="O3" s="65">
        <f>Prévisions!O$3</f>
        <v>46631</v>
      </c>
      <c r="P3" s="65">
        <f>Prévisions!P$3</f>
        <v>46661</v>
      </c>
      <c r="Q3" s="65">
        <f>Prévisions!Q$3</f>
        <v>46692</v>
      </c>
      <c r="R3" s="65">
        <f>Prévisions!R$3</f>
        <v>46722</v>
      </c>
      <c r="S3" s="65">
        <f>Prévisions!S$3</f>
        <v>46753</v>
      </c>
      <c r="T3" s="65">
        <f>Prévisions!T$3</f>
        <v>46784</v>
      </c>
      <c r="U3" s="65">
        <f>Prévisions!U$3</f>
        <v>46813</v>
      </c>
      <c r="V3" s="65">
        <f>Prévisions!V$3</f>
        <v>46844</v>
      </c>
      <c r="W3" s="50" t="s">
        <v>89</v>
      </c>
    </row>
    <row r="4" spans="1:23" x14ac:dyDescent="0.2">
      <c r="A4" s="53" t="s">
        <v>165</v>
      </c>
      <c r="B4" s="53"/>
      <c r="C4" s="53"/>
      <c r="D4" s="53"/>
      <c r="E4" s="53"/>
      <c r="F4" s="53"/>
      <c r="G4" s="53"/>
      <c r="H4" s="53"/>
      <c r="I4" s="53"/>
      <c r="J4" s="53"/>
      <c r="K4" s="53"/>
      <c r="L4" s="53"/>
      <c r="M4" s="53"/>
      <c r="N4" s="53"/>
      <c r="O4" s="53"/>
      <c r="P4" s="53"/>
      <c r="Q4" s="53"/>
      <c r="R4" s="53"/>
      <c r="S4" s="53"/>
      <c r="T4" s="53"/>
      <c r="U4" s="53"/>
      <c r="V4" s="53"/>
      <c r="W4" s="53"/>
    </row>
    <row r="5" spans="1:23" x14ac:dyDescent="0.2">
      <c r="A5" t="s">
        <v>166</v>
      </c>
      <c r="B5" s="61">
        <f>IF(Paramètres!$B$25=0,0,ROUNDUP(Prévisions!B7/Paramètres!$B$25,0))</f>
        <v>1</v>
      </c>
      <c r="C5" s="61">
        <f>IF(Paramètres!$B$25=0,0,ROUNDUP(Prévisions!C7/Paramètres!$B$25,0))</f>
        <v>4</v>
      </c>
      <c r="D5" s="61">
        <f>IF(Paramètres!$B$25=0,0,ROUNDUP(Prévisions!D7/Paramètres!$B$25,0))</f>
        <v>6</v>
      </c>
      <c r="E5" s="61">
        <f>IF(Paramètres!$B$25=0,0,ROUNDUP(Prévisions!E7/Paramètres!$B$25,0))</f>
        <v>9</v>
      </c>
      <c r="F5" s="61">
        <f>IF(Paramètres!$B$25=0,0,ROUNDUP(Prévisions!F7/Paramètres!$B$25,0))</f>
        <v>11</v>
      </c>
      <c r="G5" s="61">
        <f>IF(Paramètres!$B$25=0,0,ROUNDUP(Prévisions!G7/Paramètres!$B$25,0))</f>
        <v>13</v>
      </c>
      <c r="H5" s="61">
        <f>IF(Paramètres!$B$25=0,0,ROUNDUP(Prévisions!H7/Paramètres!$B$25,0))</f>
        <v>15</v>
      </c>
      <c r="I5" s="61">
        <f>IF(Paramètres!$B$25=0,0,ROUNDUP(Prévisions!I7/Paramètres!$B$25,0))</f>
        <v>18</v>
      </c>
      <c r="J5" s="61">
        <f>IF(Paramètres!$B$25=0,0,ROUNDUP(Prévisions!J7/Paramètres!$B$25,0))</f>
        <v>19</v>
      </c>
      <c r="K5" s="61">
        <f>IF(Paramètres!$B$25=0,0,ROUNDUP(Prévisions!K7/Paramètres!$B$25,0))</f>
        <v>19</v>
      </c>
      <c r="L5" s="61">
        <f>IF(Paramètres!$B$25=0,0,ROUNDUP(Prévisions!L7/Paramètres!$B$25,0))</f>
        <v>19</v>
      </c>
      <c r="M5" s="61">
        <f>IF(Paramètres!$B$25=0,0,ROUNDUP(Prévisions!M7/Paramètres!$B$25,0))</f>
        <v>19</v>
      </c>
      <c r="N5" s="61">
        <f>IF(Paramètres!$B$25=0,0,ROUNDUP(Prévisions!N7/Paramètres!$B$25,0))</f>
        <v>19</v>
      </c>
      <c r="O5" s="61">
        <f>IF(Paramètres!$B$25=0,0,ROUNDUP(Prévisions!O7/Paramètres!$B$25,0))</f>
        <v>19</v>
      </c>
      <c r="P5" s="61">
        <f>IF(Paramètres!$B$25=0,0,ROUNDUP(Prévisions!P7/Paramètres!$B$25,0))</f>
        <v>19</v>
      </c>
      <c r="Q5" s="61">
        <f>IF(Paramètres!$B$25=0,0,ROUNDUP(Prévisions!Q7/Paramètres!$B$25,0))</f>
        <v>19</v>
      </c>
      <c r="R5" s="61">
        <f>IF(Paramètres!$B$25=0,0,ROUNDUP(Prévisions!R7/Paramètres!$B$25,0))</f>
        <v>19</v>
      </c>
      <c r="S5" s="61">
        <f>IF(Paramètres!$B$25=0,0,ROUNDUP(Prévisions!S7/Paramètres!$B$25,0))</f>
        <v>19</v>
      </c>
      <c r="T5" s="61">
        <f>IF(Paramètres!$B$25=0,0,ROUNDUP(Prévisions!T7/Paramètres!$B$25,0))</f>
        <v>19</v>
      </c>
      <c r="U5" s="61">
        <f>IF(Paramètres!$B$25=0,0,ROUNDUP(Prévisions!U7/Paramètres!$B$25,0))</f>
        <v>17</v>
      </c>
      <c r="V5" s="61">
        <f>IF(Paramètres!$B$25=0,0,ROUNDUP(Prévisions!V7/Paramètres!$B$25,0))</f>
        <v>8</v>
      </c>
      <c r="W5" s="61">
        <f t="shared" ref="W5:W11" si="0">SUM(B5:V5)</f>
        <v>311</v>
      </c>
    </row>
    <row r="6" spans="1:23" x14ac:dyDescent="0.2">
      <c r="A6" t="s">
        <v>167</v>
      </c>
      <c r="B6" s="56">
        <f>B5*Paramètres!$B$26</f>
        <v>15000</v>
      </c>
      <c r="C6" s="56">
        <f>C5*Paramètres!$B$26</f>
        <v>60000</v>
      </c>
      <c r="D6" s="56">
        <f>D5*Paramètres!$B$26</f>
        <v>90000</v>
      </c>
      <c r="E6" s="56">
        <f>E5*Paramètres!$B$26</f>
        <v>135000</v>
      </c>
      <c r="F6" s="56">
        <f>F5*Paramètres!$B$26</f>
        <v>165000</v>
      </c>
      <c r="G6" s="56">
        <f>G5*Paramètres!$B$26</f>
        <v>195000</v>
      </c>
      <c r="H6" s="56">
        <f>H5*Paramètres!$B$26</f>
        <v>225000</v>
      </c>
      <c r="I6" s="56">
        <f>I5*Paramètres!$B$26</f>
        <v>270000</v>
      </c>
      <c r="J6" s="56">
        <f>J5*Paramètres!$B$26</f>
        <v>285000</v>
      </c>
      <c r="K6" s="56">
        <f>K5*Paramètres!$B$26</f>
        <v>285000</v>
      </c>
      <c r="L6" s="56">
        <f>L5*Paramètres!$B$26</f>
        <v>285000</v>
      </c>
      <c r="M6" s="56">
        <f>M5*Paramètres!$B$26</f>
        <v>285000</v>
      </c>
      <c r="N6" s="56">
        <f>N5*Paramètres!$B$26</f>
        <v>285000</v>
      </c>
      <c r="O6" s="56">
        <f>O5*Paramètres!$B$26</f>
        <v>285000</v>
      </c>
      <c r="P6" s="56">
        <f>P5*Paramètres!$B$26</f>
        <v>285000</v>
      </c>
      <c r="Q6" s="56">
        <f>Q5*Paramètres!$B$26</f>
        <v>285000</v>
      </c>
      <c r="R6" s="56">
        <f>R5*Paramètres!$B$26</f>
        <v>285000</v>
      </c>
      <c r="S6" s="56">
        <f>S5*Paramètres!$B$26</f>
        <v>285000</v>
      </c>
      <c r="T6" s="56">
        <f>T5*Paramètres!$B$26</f>
        <v>285000</v>
      </c>
      <c r="U6" s="56">
        <f>U5*Paramètres!$B$26</f>
        <v>255000</v>
      </c>
      <c r="V6" s="56">
        <f>V5*Paramètres!$B$26</f>
        <v>120000</v>
      </c>
      <c r="W6" s="56">
        <f t="shared" si="0"/>
        <v>4665000</v>
      </c>
    </row>
    <row r="7" spans="1:23" x14ac:dyDescent="0.2">
      <c r="A7" t="s">
        <v>168</v>
      </c>
      <c r="B7" s="61">
        <f>IF(Paramètres!$B$27=0,0,ROUNDUP(Prévisions!B24*1000/Paramètres!$B$27,0))</f>
        <v>0</v>
      </c>
      <c r="C7" s="61">
        <f>IF(Paramètres!$B$27=0,0,ROUNDUP(Prévisions!C24*1000/Paramètres!$B$27,0))</f>
        <v>0</v>
      </c>
      <c r="D7" s="61">
        <f>IF(Paramètres!$B$27=0,0,ROUNDUP(Prévisions!D24*1000/Paramètres!$B$27,0))</f>
        <v>3</v>
      </c>
      <c r="E7" s="61">
        <f>IF(Paramètres!$B$27=0,0,ROUNDUP(Prévisions!E24*1000/Paramètres!$B$27,0))</f>
        <v>3</v>
      </c>
      <c r="F7" s="61">
        <f>IF(Paramètres!$B$27=0,0,ROUNDUP(Prévisions!F24*1000/Paramètres!$B$27,0))</f>
        <v>6</v>
      </c>
      <c r="G7" s="61">
        <f>IF(Paramètres!$B$27=0,0,ROUNDUP(Prévisions!G24*1000/Paramètres!$B$27,0))</f>
        <v>6</v>
      </c>
      <c r="H7" s="61">
        <f>IF(Paramètres!$B$27=0,0,ROUNDUP(Prévisions!H24*1000/Paramètres!$B$27,0))</f>
        <v>7</v>
      </c>
      <c r="I7" s="61">
        <f>IF(Paramètres!$B$27=0,0,ROUNDUP(Prévisions!I24*1000/Paramètres!$B$27,0))</f>
        <v>8</v>
      </c>
      <c r="J7" s="61">
        <f>IF(Paramètres!$B$27=0,0,ROUNDUP(Prévisions!J24*1000/Paramètres!$B$27,0))</f>
        <v>10</v>
      </c>
      <c r="K7" s="61">
        <f>IF(Paramètres!$B$27=0,0,ROUNDUP(Prévisions!K24*1000/Paramètres!$B$27,0))</f>
        <v>10</v>
      </c>
      <c r="L7" s="61">
        <f>IF(Paramètres!$B$27=0,0,ROUNDUP(Prévisions!L24*1000/Paramètres!$B$27,0))</f>
        <v>10</v>
      </c>
      <c r="M7" s="61">
        <f>IF(Paramètres!$B$27=0,0,ROUNDUP(Prévisions!M24*1000/Paramètres!$B$27,0))</f>
        <v>10</v>
      </c>
      <c r="N7" s="61">
        <f>IF(Paramètres!$B$27=0,0,ROUNDUP(Prévisions!N24*1000/Paramètres!$B$27,0))</f>
        <v>10</v>
      </c>
      <c r="O7" s="61">
        <f>IF(Paramètres!$B$27=0,0,ROUNDUP(Prévisions!O24*1000/Paramètres!$B$27,0))</f>
        <v>10</v>
      </c>
      <c r="P7" s="61">
        <f>IF(Paramètres!$B$27=0,0,ROUNDUP(Prévisions!P24*1000/Paramètres!$B$27,0))</f>
        <v>10</v>
      </c>
      <c r="Q7" s="61">
        <f>IF(Paramètres!$B$27=0,0,ROUNDUP(Prévisions!Q24*1000/Paramètres!$B$27,0))</f>
        <v>10</v>
      </c>
      <c r="R7" s="61">
        <f>IF(Paramètres!$B$27=0,0,ROUNDUP(Prévisions!R24*1000/Paramètres!$B$27,0))</f>
        <v>10</v>
      </c>
      <c r="S7" s="61">
        <f>IF(Paramètres!$B$27=0,0,ROUNDUP(Prévisions!S24*1000/Paramètres!$B$27,0))</f>
        <v>10</v>
      </c>
      <c r="T7" s="61">
        <f>IF(Paramètres!$B$27=0,0,ROUNDUP(Prévisions!T24*1000/Paramètres!$B$27,0))</f>
        <v>10</v>
      </c>
      <c r="U7" s="61">
        <f>IF(Paramètres!$B$27=0,0,ROUNDUP(Prévisions!U24*1000/Paramètres!$B$27,0))</f>
        <v>10</v>
      </c>
      <c r="V7" s="61">
        <f>IF(Paramètres!$B$27=0,0,ROUNDUP(Prévisions!V24*1000/Paramètres!$B$27,0))</f>
        <v>10</v>
      </c>
      <c r="W7" s="61">
        <f t="shared" si="0"/>
        <v>163</v>
      </c>
    </row>
    <row r="8" spans="1:23" x14ac:dyDescent="0.2">
      <c r="A8" t="s">
        <v>169</v>
      </c>
      <c r="B8" s="56">
        <f>B7*Paramètres!$B$28</f>
        <v>0</v>
      </c>
      <c r="C8" s="56">
        <f>C7*Paramètres!$B$28</f>
        <v>0</v>
      </c>
      <c r="D8" s="56">
        <f>D7*Paramètres!$B$28</f>
        <v>75000</v>
      </c>
      <c r="E8" s="56">
        <f>E7*Paramètres!$B$28</f>
        <v>75000</v>
      </c>
      <c r="F8" s="56">
        <f>F7*Paramètres!$B$28</f>
        <v>150000</v>
      </c>
      <c r="G8" s="56">
        <f>G7*Paramètres!$B$28</f>
        <v>150000</v>
      </c>
      <c r="H8" s="56">
        <f>H7*Paramètres!$B$28</f>
        <v>175000</v>
      </c>
      <c r="I8" s="56">
        <f>I7*Paramètres!$B$28</f>
        <v>200000</v>
      </c>
      <c r="J8" s="56">
        <f>J7*Paramètres!$B$28</f>
        <v>250000</v>
      </c>
      <c r="K8" s="56">
        <f>K7*Paramètres!$B$28</f>
        <v>250000</v>
      </c>
      <c r="L8" s="56">
        <f>L7*Paramètres!$B$28</f>
        <v>250000</v>
      </c>
      <c r="M8" s="56">
        <f>M7*Paramètres!$B$28</f>
        <v>250000</v>
      </c>
      <c r="N8" s="56">
        <f>N7*Paramètres!$B$28</f>
        <v>250000</v>
      </c>
      <c r="O8" s="56">
        <f>O7*Paramètres!$B$28</f>
        <v>250000</v>
      </c>
      <c r="P8" s="56">
        <f>P7*Paramètres!$B$28</f>
        <v>250000</v>
      </c>
      <c r="Q8" s="56">
        <f>Q7*Paramètres!$B$28</f>
        <v>250000</v>
      </c>
      <c r="R8" s="56">
        <f>R7*Paramètres!$B$28</f>
        <v>250000</v>
      </c>
      <c r="S8" s="56">
        <f>S7*Paramètres!$B$28</f>
        <v>250000</v>
      </c>
      <c r="T8" s="56">
        <f>T7*Paramètres!$B$28</f>
        <v>250000</v>
      </c>
      <c r="U8" s="56">
        <f>U7*Paramètres!$B$28</f>
        <v>250000</v>
      </c>
      <c r="V8" s="56">
        <f>V7*Paramètres!$B$28</f>
        <v>250000</v>
      </c>
      <c r="W8" s="56">
        <f t="shared" si="0"/>
        <v>4075000</v>
      </c>
    </row>
    <row r="9" spans="1:23" x14ac:dyDescent="0.2">
      <c r="A9" t="s">
        <v>170</v>
      </c>
      <c r="B9" s="61">
        <f>IF(Paramètres!$B$29=0,0,ROUNDUP(Prévisions!B5/Paramètres!$B$29,0))</f>
        <v>1</v>
      </c>
      <c r="C9" s="61">
        <f>IF(Paramètres!$B$29=0,0,ROUNDUP(Prévisions!C5/Paramètres!$B$29,0))</f>
        <v>1</v>
      </c>
      <c r="D9" s="61">
        <f>IF(Paramètres!$B$29=0,0,ROUNDUP(Prévisions!D5/Paramètres!$B$29,0))</f>
        <v>2</v>
      </c>
      <c r="E9" s="61">
        <f>IF(Paramètres!$B$29=0,0,ROUNDUP(Prévisions!E5/Paramètres!$B$29,0))</f>
        <v>2</v>
      </c>
      <c r="F9" s="61">
        <f>IF(Paramètres!$B$29=0,0,ROUNDUP(Prévisions!F5/Paramètres!$B$29,0))</f>
        <v>2</v>
      </c>
      <c r="G9" s="61">
        <f>IF(Paramètres!$B$29=0,0,ROUNDUP(Prévisions!G5/Paramètres!$B$29,0))</f>
        <v>2</v>
      </c>
      <c r="H9" s="61">
        <f>IF(Paramètres!$B$29=0,0,ROUNDUP(Prévisions!H5/Paramètres!$B$29,0))</f>
        <v>3</v>
      </c>
      <c r="I9" s="61">
        <f>IF(Paramètres!$B$29=0,0,ROUNDUP(Prévisions!I5/Paramètres!$B$29,0))</f>
        <v>3</v>
      </c>
      <c r="J9" s="61">
        <f>IF(Paramètres!$B$29=0,0,ROUNDUP(Prévisions!J5/Paramètres!$B$29,0))</f>
        <v>3</v>
      </c>
      <c r="K9" s="61">
        <f>IF(Paramètres!$B$29=0,0,ROUNDUP(Prévisions!K5/Paramètres!$B$29,0))</f>
        <v>3</v>
      </c>
      <c r="L9" s="61">
        <f>IF(Paramètres!$B$29=0,0,ROUNDUP(Prévisions!L5/Paramètres!$B$29,0))</f>
        <v>3</v>
      </c>
      <c r="M9" s="61">
        <f>IF(Paramètres!$B$29=0,0,ROUNDUP(Prévisions!M5/Paramètres!$B$29,0))</f>
        <v>3</v>
      </c>
      <c r="N9" s="61">
        <f>IF(Paramètres!$B$29=0,0,ROUNDUP(Prévisions!N5/Paramètres!$B$29,0))</f>
        <v>3</v>
      </c>
      <c r="O9" s="61">
        <f>IF(Paramètres!$B$29=0,0,ROUNDUP(Prévisions!O5/Paramètres!$B$29,0))</f>
        <v>3</v>
      </c>
      <c r="P9" s="61">
        <f>IF(Paramètres!$B$29=0,0,ROUNDUP(Prévisions!P5/Paramètres!$B$29,0))</f>
        <v>3</v>
      </c>
      <c r="Q9" s="61">
        <f>IF(Paramètres!$B$29=0,0,ROUNDUP(Prévisions!Q5/Paramètres!$B$29,0))</f>
        <v>3</v>
      </c>
      <c r="R9" s="61">
        <f>IF(Paramètres!$B$29=0,0,ROUNDUP(Prévisions!R5/Paramètres!$B$29,0))</f>
        <v>3</v>
      </c>
      <c r="S9" s="61">
        <f>IF(Paramètres!$B$29=0,0,ROUNDUP(Prévisions!S5/Paramètres!$B$29,0))</f>
        <v>3</v>
      </c>
      <c r="T9" s="61">
        <f>IF(Paramètres!$B$29=0,0,ROUNDUP(Prévisions!T5/Paramètres!$B$29,0))</f>
        <v>3</v>
      </c>
      <c r="U9" s="61">
        <f>IF(Paramètres!$B$29=0,0,ROUNDUP(Prévisions!U5/Paramètres!$B$29,0))</f>
        <v>0</v>
      </c>
      <c r="V9" s="61">
        <f>IF(Paramètres!$B$29=0,0,ROUNDUP(Prévisions!V5/Paramètres!$B$29,0))</f>
        <v>0</v>
      </c>
      <c r="W9" s="61">
        <f t="shared" si="0"/>
        <v>49</v>
      </c>
    </row>
    <row r="10" spans="1:23" x14ac:dyDescent="0.2">
      <c r="A10" t="s">
        <v>171</v>
      </c>
      <c r="B10" s="56">
        <v>0</v>
      </c>
      <c r="C10" s="56">
        <f>C9*Paramètres!$B$30</f>
        <v>30000</v>
      </c>
      <c r="D10" s="56">
        <f>D9*Paramètres!$B$30</f>
        <v>60000</v>
      </c>
      <c r="E10" s="56">
        <f>E9*Paramètres!$B$30</f>
        <v>60000</v>
      </c>
      <c r="F10" s="56">
        <f>F9*Paramètres!$B$30</f>
        <v>60000</v>
      </c>
      <c r="G10" s="56">
        <f>G9*Paramètres!$B$30</f>
        <v>60000</v>
      </c>
      <c r="H10" s="56">
        <f>H9*Paramètres!$B$30</f>
        <v>90000</v>
      </c>
      <c r="I10" s="56">
        <f>I9*Paramètres!$B$30</f>
        <v>90000</v>
      </c>
      <c r="J10" s="56">
        <f>J9*Paramètres!$B$30</f>
        <v>90000</v>
      </c>
      <c r="K10" s="56">
        <f>K9*Paramètres!$B$30</f>
        <v>90000</v>
      </c>
      <c r="L10" s="56">
        <f>L9*Paramètres!$B$30</f>
        <v>90000</v>
      </c>
      <c r="M10" s="56">
        <f>M9*Paramètres!$B$30</f>
        <v>90000</v>
      </c>
      <c r="N10" s="56">
        <f>N9*Paramètres!$B$30</f>
        <v>90000</v>
      </c>
      <c r="O10" s="56">
        <f>O9*Paramètres!$B$30</f>
        <v>90000</v>
      </c>
      <c r="P10" s="56">
        <f>P9*Paramètres!$B$30</f>
        <v>90000</v>
      </c>
      <c r="Q10" s="56">
        <f>Q9*Paramètres!$B$30</f>
        <v>90000</v>
      </c>
      <c r="R10" s="56">
        <f>R9*Paramètres!$B$30</f>
        <v>90000</v>
      </c>
      <c r="S10" s="56">
        <f>S9*Paramètres!$B$30</f>
        <v>90000</v>
      </c>
      <c r="T10" s="56">
        <f>T9*Paramètres!$B$30</f>
        <v>90000</v>
      </c>
      <c r="U10" s="56">
        <f>U9*Paramètres!$B$30</f>
        <v>0</v>
      </c>
      <c r="V10" s="56">
        <f>V9*Paramètres!$B$30</f>
        <v>0</v>
      </c>
      <c r="W10" s="56">
        <f t="shared" si="0"/>
        <v>1440000</v>
      </c>
    </row>
    <row r="11" spans="1:23" x14ac:dyDescent="0.2">
      <c r="A11" s="54" t="s">
        <v>172</v>
      </c>
      <c r="B11" s="57">
        <f t="shared" ref="B11:V11" si="1">B6+B8+B10</f>
        <v>15000</v>
      </c>
      <c r="C11" s="57">
        <f t="shared" si="1"/>
        <v>90000</v>
      </c>
      <c r="D11" s="57">
        <f t="shared" si="1"/>
        <v>225000</v>
      </c>
      <c r="E11" s="57">
        <f t="shared" si="1"/>
        <v>270000</v>
      </c>
      <c r="F11" s="57">
        <f t="shared" si="1"/>
        <v>375000</v>
      </c>
      <c r="G11" s="57">
        <f t="shared" si="1"/>
        <v>405000</v>
      </c>
      <c r="H11" s="57">
        <f t="shared" si="1"/>
        <v>490000</v>
      </c>
      <c r="I11" s="57">
        <f t="shared" si="1"/>
        <v>560000</v>
      </c>
      <c r="J11" s="57">
        <f t="shared" si="1"/>
        <v>625000</v>
      </c>
      <c r="K11" s="57">
        <f t="shared" si="1"/>
        <v>625000</v>
      </c>
      <c r="L11" s="57">
        <f t="shared" si="1"/>
        <v>625000</v>
      </c>
      <c r="M11" s="57">
        <f t="shared" si="1"/>
        <v>625000</v>
      </c>
      <c r="N11" s="57">
        <f t="shared" si="1"/>
        <v>625000</v>
      </c>
      <c r="O11" s="57">
        <f t="shared" si="1"/>
        <v>625000</v>
      </c>
      <c r="P11" s="57">
        <f t="shared" si="1"/>
        <v>625000</v>
      </c>
      <c r="Q11" s="57">
        <f t="shared" si="1"/>
        <v>625000</v>
      </c>
      <c r="R11" s="57">
        <f t="shared" si="1"/>
        <v>625000</v>
      </c>
      <c r="S11" s="57">
        <f t="shared" si="1"/>
        <v>625000</v>
      </c>
      <c r="T11" s="57">
        <f t="shared" si="1"/>
        <v>625000</v>
      </c>
      <c r="U11" s="57">
        <f t="shared" si="1"/>
        <v>505000</v>
      </c>
      <c r="V11" s="57">
        <f t="shared" si="1"/>
        <v>370000</v>
      </c>
      <c r="W11" s="57">
        <f t="shared" si="0"/>
        <v>10180000</v>
      </c>
    </row>
    <row r="12" spans="1:23" x14ac:dyDescent="0.2">
      <c r="B12" s="56"/>
      <c r="C12" s="56"/>
      <c r="D12" s="56"/>
      <c r="E12" s="56"/>
      <c r="F12" s="56"/>
      <c r="G12" s="56"/>
      <c r="H12" s="56"/>
      <c r="I12" s="56"/>
      <c r="J12" s="56"/>
      <c r="K12" s="56"/>
      <c r="L12" s="56"/>
      <c r="M12" s="56"/>
      <c r="N12" s="56"/>
      <c r="O12" s="56"/>
      <c r="P12" s="56"/>
      <c r="Q12" s="56"/>
      <c r="R12" s="56"/>
      <c r="S12" s="56"/>
      <c r="T12" s="56"/>
      <c r="U12" s="56"/>
      <c r="V12" s="56"/>
      <c r="W12" s="56"/>
    </row>
    <row r="13" spans="1:23" x14ac:dyDescent="0.2">
      <c r="A13" s="53" t="s">
        <v>173</v>
      </c>
      <c r="B13" s="58"/>
      <c r="C13" s="58"/>
      <c r="D13" s="58"/>
      <c r="E13" s="58"/>
      <c r="F13" s="58"/>
      <c r="G13" s="58"/>
      <c r="H13" s="58"/>
      <c r="I13" s="58"/>
      <c r="J13" s="58"/>
      <c r="K13" s="58"/>
      <c r="L13" s="58"/>
      <c r="M13" s="58"/>
      <c r="N13" s="58"/>
      <c r="O13" s="58"/>
      <c r="P13" s="58"/>
      <c r="Q13" s="58"/>
      <c r="R13" s="58"/>
      <c r="S13" s="58"/>
      <c r="T13" s="58"/>
      <c r="U13" s="58"/>
      <c r="V13" s="58"/>
      <c r="W13" s="58"/>
    </row>
    <row r="14" spans="1:23" x14ac:dyDescent="0.2">
      <c r="A14" t="s">
        <v>174</v>
      </c>
      <c r="B14" s="63">
        <v>500000</v>
      </c>
      <c r="C14" s="63">
        <v>500000</v>
      </c>
      <c r="D14" s="63">
        <v>500000</v>
      </c>
      <c r="E14" s="63">
        <v>500000</v>
      </c>
      <c r="F14" s="63">
        <v>500000</v>
      </c>
      <c r="G14" s="63">
        <v>500000</v>
      </c>
      <c r="H14" s="63">
        <v>500000</v>
      </c>
      <c r="I14" s="63">
        <v>500000</v>
      </c>
      <c r="J14" s="63">
        <v>500000</v>
      </c>
      <c r="K14" s="63">
        <v>500000</v>
      </c>
      <c r="L14" s="63">
        <v>500000</v>
      </c>
      <c r="M14" s="63">
        <v>500000</v>
      </c>
      <c r="N14" s="63">
        <v>500000</v>
      </c>
      <c r="O14" s="63">
        <v>500000</v>
      </c>
      <c r="P14" s="63">
        <v>500000</v>
      </c>
      <c r="Q14" s="63">
        <v>500000</v>
      </c>
      <c r="R14" s="63">
        <v>500000</v>
      </c>
      <c r="S14" s="63">
        <v>500000</v>
      </c>
      <c r="T14" s="63">
        <v>500000</v>
      </c>
      <c r="U14" s="63">
        <v>500000</v>
      </c>
      <c r="V14" s="63">
        <v>500000</v>
      </c>
      <c r="W14" s="56">
        <f t="shared" ref="W14:W21" si="2">SUM(B14:V14)</f>
        <v>10500000</v>
      </c>
    </row>
    <row r="15" spans="1:23" x14ac:dyDescent="0.2">
      <c r="A15" t="s">
        <v>175</v>
      </c>
      <c r="B15" s="63">
        <v>120000</v>
      </c>
      <c r="C15" s="63">
        <v>120000</v>
      </c>
      <c r="D15" s="63">
        <v>120000</v>
      </c>
      <c r="E15" s="63">
        <v>120000</v>
      </c>
      <c r="F15" s="63">
        <v>120000</v>
      </c>
      <c r="G15" s="63">
        <v>120000</v>
      </c>
      <c r="H15" s="63">
        <v>120000</v>
      </c>
      <c r="I15" s="63">
        <v>120000</v>
      </c>
      <c r="J15" s="63">
        <v>120000</v>
      </c>
      <c r="K15" s="63">
        <v>120000</v>
      </c>
      <c r="L15" s="63">
        <v>120000</v>
      </c>
      <c r="M15" s="63">
        <v>120000</v>
      </c>
      <c r="N15" s="63">
        <v>120000</v>
      </c>
      <c r="O15" s="63">
        <v>120000</v>
      </c>
      <c r="P15" s="63">
        <v>120000</v>
      </c>
      <c r="Q15" s="63">
        <v>120000</v>
      </c>
      <c r="R15" s="63">
        <v>120000</v>
      </c>
      <c r="S15" s="63">
        <v>120000</v>
      </c>
      <c r="T15" s="63">
        <v>120000</v>
      </c>
      <c r="U15" s="63">
        <v>120000</v>
      </c>
      <c r="V15" s="63">
        <v>120000</v>
      </c>
      <c r="W15" s="56">
        <f t="shared" si="2"/>
        <v>2520000</v>
      </c>
    </row>
    <row r="16" spans="1:23" x14ac:dyDescent="0.2">
      <c r="A16" t="s">
        <v>176</v>
      </c>
      <c r="B16" s="63">
        <v>0</v>
      </c>
      <c r="C16" s="63">
        <v>0</v>
      </c>
      <c r="D16" s="63">
        <v>0</v>
      </c>
      <c r="E16" s="63">
        <v>0</v>
      </c>
      <c r="F16" s="63">
        <v>0</v>
      </c>
      <c r="G16" s="63">
        <v>0</v>
      </c>
      <c r="H16" s="63">
        <v>0</v>
      </c>
      <c r="I16" s="63">
        <v>0</v>
      </c>
      <c r="J16" s="63">
        <v>0</v>
      </c>
      <c r="K16" s="63">
        <v>0</v>
      </c>
      <c r="L16" s="63">
        <v>0</v>
      </c>
      <c r="M16" s="63">
        <v>0</v>
      </c>
      <c r="N16" s="63">
        <v>0</v>
      </c>
      <c r="O16" s="63">
        <v>0</v>
      </c>
      <c r="P16" s="63">
        <v>0</v>
      </c>
      <c r="Q16" s="63">
        <v>0</v>
      </c>
      <c r="R16" s="63">
        <v>0</v>
      </c>
      <c r="S16" s="63">
        <v>0</v>
      </c>
      <c r="T16" s="63">
        <v>0</v>
      </c>
      <c r="U16" s="63">
        <v>0</v>
      </c>
      <c r="V16" s="63">
        <v>0</v>
      </c>
      <c r="W16" s="56">
        <f t="shared" si="2"/>
        <v>0</v>
      </c>
    </row>
    <row r="17" spans="1:23" x14ac:dyDescent="0.2">
      <c r="A17" t="s">
        <v>177</v>
      </c>
      <c r="B17" s="63"/>
      <c r="C17" s="63"/>
      <c r="D17" s="63"/>
      <c r="E17" s="63"/>
      <c r="F17" s="63"/>
      <c r="G17" s="63"/>
      <c r="H17" s="63"/>
      <c r="I17" s="63"/>
      <c r="J17" s="63"/>
      <c r="K17" s="63"/>
      <c r="L17" s="63"/>
      <c r="M17" s="63"/>
      <c r="N17" s="63"/>
      <c r="O17" s="63"/>
      <c r="P17" s="63"/>
      <c r="Q17" s="63"/>
      <c r="R17" s="63"/>
      <c r="S17" s="63"/>
      <c r="T17" s="63"/>
      <c r="U17" s="63"/>
      <c r="V17" s="63"/>
      <c r="W17" s="56">
        <f t="shared" si="2"/>
        <v>0</v>
      </c>
    </row>
    <row r="18" spans="1:23" x14ac:dyDescent="0.2">
      <c r="A18" t="s">
        <v>178</v>
      </c>
      <c r="B18" s="63">
        <v>250000</v>
      </c>
      <c r="C18" s="63">
        <v>250000</v>
      </c>
      <c r="D18" s="63">
        <v>250000</v>
      </c>
      <c r="E18" s="63">
        <v>250000</v>
      </c>
      <c r="F18" s="63">
        <v>250000</v>
      </c>
      <c r="G18" s="63">
        <v>250000</v>
      </c>
      <c r="H18" s="63">
        <v>250000</v>
      </c>
      <c r="I18" s="63">
        <v>250000</v>
      </c>
      <c r="J18" s="63">
        <v>250000</v>
      </c>
      <c r="K18" s="63">
        <v>250000</v>
      </c>
      <c r="L18" s="63">
        <v>250000</v>
      </c>
      <c r="M18" s="63">
        <v>250000</v>
      </c>
      <c r="N18" s="63">
        <v>250000</v>
      </c>
      <c r="O18" s="63">
        <v>250000</v>
      </c>
      <c r="P18" s="63">
        <v>250000</v>
      </c>
      <c r="Q18" s="63">
        <v>250000</v>
      </c>
      <c r="R18" s="63">
        <v>250000</v>
      </c>
      <c r="S18" s="63">
        <v>250000</v>
      </c>
      <c r="T18" s="63">
        <v>250000</v>
      </c>
      <c r="U18" s="63">
        <v>250000</v>
      </c>
      <c r="V18" s="63">
        <v>250000</v>
      </c>
      <c r="W18" s="56">
        <f t="shared" si="2"/>
        <v>5250000</v>
      </c>
    </row>
    <row r="19" spans="1:23" x14ac:dyDescent="0.2">
      <c r="A19" t="s">
        <v>179</v>
      </c>
      <c r="B19" s="63">
        <v>110000</v>
      </c>
      <c r="C19" s="63">
        <v>110000</v>
      </c>
      <c r="D19" s="63">
        <v>110000</v>
      </c>
      <c r="E19" s="63">
        <v>110000</v>
      </c>
      <c r="F19" s="63">
        <v>110000</v>
      </c>
      <c r="G19" s="63">
        <v>110000</v>
      </c>
      <c r="H19" s="63">
        <v>110000</v>
      </c>
      <c r="I19" s="63">
        <v>110000</v>
      </c>
      <c r="J19" s="63">
        <v>110000</v>
      </c>
      <c r="K19" s="63">
        <v>110000</v>
      </c>
      <c r="L19" s="63">
        <v>110000</v>
      </c>
      <c r="M19" s="63">
        <v>110000</v>
      </c>
      <c r="N19" s="63">
        <v>110000</v>
      </c>
      <c r="O19" s="63">
        <v>110000</v>
      </c>
      <c r="P19" s="63">
        <v>110000</v>
      </c>
      <c r="Q19" s="63">
        <v>110000</v>
      </c>
      <c r="R19" s="63">
        <v>110000</v>
      </c>
      <c r="S19" s="63">
        <v>110000</v>
      </c>
      <c r="T19" s="63">
        <v>110000</v>
      </c>
      <c r="U19" s="63">
        <v>110000</v>
      </c>
      <c r="V19" s="63">
        <v>110000</v>
      </c>
      <c r="W19" s="56">
        <f t="shared" si="2"/>
        <v>2310000</v>
      </c>
    </row>
    <row r="20" spans="1:23" x14ac:dyDescent="0.2">
      <c r="A20" t="s">
        <v>180</v>
      </c>
      <c r="B20" s="63">
        <v>0</v>
      </c>
      <c r="C20" s="63">
        <v>0</v>
      </c>
      <c r="D20" s="63">
        <v>0</v>
      </c>
      <c r="E20" s="63">
        <v>0</v>
      </c>
      <c r="F20" s="63">
        <v>0</v>
      </c>
      <c r="G20" s="63">
        <v>0</v>
      </c>
      <c r="H20" s="63">
        <v>0</v>
      </c>
      <c r="I20" s="63">
        <v>0</v>
      </c>
      <c r="J20" s="63">
        <v>0</v>
      </c>
      <c r="K20" s="63">
        <v>0</v>
      </c>
      <c r="L20" s="63">
        <v>0</v>
      </c>
      <c r="M20" s="63">
        <v>0</v>
      </c>
      <c r="N20" s="63">
        <v>0</v>
      </c>
      <c r="O20" s="63">
        <v>0</v>
      </c>
      <c r="P20" s="63">
        <v>0</v>
      </c>
      <c r="Q20" s="63">
        <v>0</v>
      </c>
      <c r="R20" s="63">
        <v>0</v>
      </c>
      <c r="S20" s="63">
        <v>0</v>
      </c>
      <c r="T20" s="63">
        <v>0</v>
      </c>
      <c r="U20" s="63">
        <v>0</v>
      </c>
      <c r="V20" s="63">
        <v>0</v>
      </c>
      <c r="W20" s="56">
        <f t="shared" si="2"/>
        <v>0</v>
      </c>
    </row>
    <row r="21" spans="1:23" x14ac:dyDescent="0.2">
      <c r="A21" t="s">
        <v>181</v>
      </c>
      <c r="B21" s="63">
        <v>0</v>
      </c>
      <c r="C21" s="63">
        <v>0</v>
      </c>
      <c r="D21" s="63">
        <v>0</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c r="W21" s="56">
        <f t="shared" si="2"/>
        <v>0</v>
      </c>
    </row>
    <row r="22" spans="1:23" x14ac:dyDescent="0.2">
      <c r="A22" s="54" t="s">
        <v>182</v>
      </c>
      <c r="B22" s="56">
        <f t="shared" ref="B22:V22" si="3">SUM(B14:B21)</f>
        <v>980000</v>
      </c>
      <c r="C22" s="56">
        <f t="shared" si="3"/>
        <v>980000</v>
      </c>
      <c r="D22" s="56">
        <f t="shared" si="3"/>
        <v>980000</v>
      </c>
      <c r="E22" s="56">
        <f t="shared" si="3"/>
        <v>980000</v>
      </c>
      <c r="F22" s="56">
        <f t="shared" si="3"/>
        <v>980000</v>
      </c>
      <c r="G22" s="56">
        <f t="shared" si="3"/>
        <v>980000</v>
      </c>
      <c r="H22" s="56">
        <f t="shared" si="3"/>
        <v>980000</v>
      </c>
      <c r="I22" s="56">
        <f t="shared" si="3"/>
        <v>980000</v>
      </c>
      <c r="J22" s="56">
        <f t="shared" si="3"/>
        <v>980000</v>
      </c>
      <c r="K22" s="56">
        <f t="shared" si="3"/>
        <v>980000</v>
      </c>
      <c r="L22" s="56">
        <f t="shared" si="3"/>
        <v>980000</v>
      </c>
      <c r="M22" s="56">
        <f t="shared" si="3"/>
        <v>980000</v>
      </c>
      <c r="N22" s="56">
        <f t="shared" si="3"/>
        <v>980000</v>
      </c>
      <c r="O22" s="56">
        <f t="shared" si="3"/>
        <v>980000</v>
      </c>
      <c r="P22" s="56">
        <f t="shared" si="3"/>
        <v>980000</v>
      </c>
      <c r="Q22" s="56">
        <f t="shared" si="3"/>
        <v>980000</v>
      </c>
      <c r="R22" s="56">
        <f t="shared" si="3"/>
        <v>980000</v>
      </c>
      <c r="S22" s="56">
        <f t="shared" si="3"/>
        <v>980000</v>
      </c>
      <c r="T22" s="56">
        <f t="shared" si="3"/>
        <v>980000</v>
      </c>
      <c r="U22" s="56">
        <f t="shared" si="3"/>
        <v>980000</v>
      </c>
      <c r="V22" s="56">
        <f t="shared" si="3"/>
        <v>980000</v>
      </c>
      <c r="W22" s="57">
        <f>SUM(B22:V22)</f>
        <v>20580000</v>
      </c>
    </row>
    <row r="23" spans="1:23" x14ac:dyDescent="0.2">
      <c r="B23" s="56"/>
      <c r="C23" s="56"/>
      <c r="D23" s="56"/>
      <c r="E23" s="56"/>
      <c r="F23" s="56"/>
      <c r="G23" s="56"/>
      <c r="H23" s="56"/>
      <c r="I23" s="56"/>
      <c r="J23" s="56"/>
      <c r="K23" s="56"/>
      <c r="L23" s="56"/>
      <c r="M23" s="56"/>
      <c r="N23" s="56"/>
      <c r="O23" s="56"/>
      <c r="P23" s="56"/>
      <c r="Q23" s="56"/>
      <c r="R23" s="56"/>
      <c r="S23" s="56"/>
      <c r="T23" s="56"/>
      <c r="U23" s="56"/>
      <c r="V23" s="56"/>
      <c r="W23" s="56"/>
    </row>
    <row r="24" spans="1:23" x14ac:dyDescent="0.2">
      <c r="A24" s="53" t="s">
        <v>198</v>
      </c>
      <c r="B24" s="58"/>
      <c r="C24" s="58"/>
      <c r="D24" s="58"/>
      <c r="E24" s="58"/>
      <c r="F24" s="58"/>
      <c r="G24" s="58"/>
      <c r="H24" s="58"/>
      <c r="I24" s="58"/>
      <c r="J24" s="58"/>
      <c r="K24" s="58"/>
      <c r="L24" s="58"/>
      <c r="M24" s="58"/>
      <c r="N24" s="58"/>
      <c r="O24" s="58"/>
      <c r="P24" s="58"/>
      <c r="Q24" s="58"/>
      <c r="R24" s="58"/>
      <c r="S24" s="58"/>
      <c r="T24" s="58"/>
      <c r="U24" s="58"/>
      <c r="V24" s="58"/>
      <c r="W24" s="58"/>
    </row>
    <row r="25" spans="1:23" x14ac:dyDescent="0.2">
      <c r="A25" s="70" t="s">
        <v>199</v>
      </c>
      <c r="B25" s="56">
        <f>SUMIFS(Journal[Montant],Journal[Mois],B$3,Journal[Catégorie],"Opérationnel",Journal[Vague],"")</f>
        <v>0</v>
      </c>
      <c r="C25" s="56">
        <f>SUMIFS(Journal[Montant],Journal[Mois],C$3,Journal[Catégorie],"Opérationnel",Journal[Vague],"")</f>
        <v>0</v>
      </c>
      <c r="D25" s="56">
        <f>SUMIFS(Journal[Montant],Journal[Mois],D$3,Journal[Catégorie],"Opérationnel",Journal[Vague],"")</f>
        <v>0</v>
      </c>
      <c r="E25" s="56">
        <f>SUMIFS(Journal[Montant],Journal[Mois],E$3,Journal[Catégorie],"Opérationnel",Journal[Vague],"")</f>
        <v>0</v>
      </c>
      <c r="F25" s="56">
        <f>SUMIFS(Journal[Montant],Journal[Mois],F$3,Journal[Catégorie],"Opérationnel",Journal[Vague],"")</f>
        <v>0</v>
      </c>
      <c r="G25" s="56">
        <f>SUMIFS(Journal[Montant],Journal[Mois],G$3,Journal[Catégorie],"Opérationnel",Journal[Vague],"")</f>
        <v>0</v>
      </c>
      <c r="H25" s="56">
        <f>SUMIFS(Journal[Montant],Journal[Mois],H$3,Journal[Catégorie],"Opérationnel",Journal[Vague],"")</f>
        <v>0</v>
      </c>
      <c r="I25" s="56">
        <f>SUMIFS(Journal[Montant],Journal[Mois],I$3,Journal[Catégorie],"Opérationnel",Journal[Vague],"")</f>
        <v>0</v>
      </c>
      <c r="J25" s="56">
        <f>SUMIFS(Journal[Montant],Journal[Mois],J$3,Journal[Catégorie],"Opérationnel",Journal[Vague],"")</f>
        <v>0</v>
      </c>
      <c r="K25" s="56">
        <f>SUMIFS(Journal[Montant],Journal[Mois],K$3,Journal[Catégorie],"Opérationnel",Journal[Vague],"")</f>
        <v>0</v>
      </c>
      <c r="L25" s="56">
        <f>SUMIFS(Journal[Montant],Journal[Mois],L$3,Journal[Catégorie],"Opérationnel",Journal[Vague],"")</f>
        <v>0</v>
      </c>
      <c r="M25" s="56">
        <f>SUMIFS(Journal[Montant],Journal[Mois],M$3,Journal[Catégorie],"Opérationnel",Journal[Vague],"")</f>
        <v>0</v>
      </c>
      <c r="N25" s="56">
        <f>SUMIFS(Journal[Montant],Journal[Mois],N$3,Journal[Catégorie],"Opérationnel",Journal[Vague],"")</f>
        <v>0</v>
      </c>
      <c r="O25" s="56">
        <f>SUMIFS(Journal[Montant],Journal[Mois],O$3,Journal[Catégorie],"Opérationnel",Journal[Vague],"")</f>
        <v>0</v>
      </c>
      <c r="P25" s="56">
        <f>SUMIFS(Journal[Montant],Journal[Mois],P$3,Journal[Catégorie],"Opérationnel",Journal[Vague],"")</f>
        <v>0</v>
      </c>
      <c r="Q25" s="56">
        <f>SUMIFS(Journal[Montant],Journal[Mois],Q$3,Journal[Catégorie],"Opérationnel",Journal[Vague],"")</f>
        <v>0</v>
      </c>
      <c r="R25" s="56">
        <f>SUMIFS(Journal[Montant],Journal[Mois],R$3,Journal[Catégorie],"Opérationnel",Journal[Vague],"")</f>
        <v>0</v>
      </c>
      <c r="S25" s="56">
        <f>SUMIFS(Journal[Montant],Journal[Mois],S$3,Journal[Catégorie],"Opérationnel",Journal[Vague],"")</f>
        <v>0</v>
      </c>
      <c r="T25" s="56">
        <f>SUMIFS(Journal[Montant],Journal[Mois],T$3,Journal[Catégorie],"Opérationnel",Journal[Vague],"")</f>
        <v>0</v>
      </c>
      <c r="U25" s="56">
        <f>SUMIFS(Journal[Montant],Journal[Mois],U$3,Journal[Catégorie],"Opérationnel",Journal[Vague],"")</f>
        <v>0</v>
      </c>
      <c r="V25" s="56">
        <f>SUMIFS(Journal[Montant],Journal[Mois],V$3,Journal[Catégorie],"Opérationnel",Journal[Vague],"")</f>
        <v>0</v>
      </c>
      <c r="W25" s="56">
        <f>SUM(B25:V25)</f>
        <v>0</v>
      </c>
    </row>
    <row r="26" spans="1:23" x14ac:dyDescent="0.2">
      <c r="A26" s="70" t="s">
        <v>200</v>
      </c>
      <c r="B26" s="56">
        <f>SUMIFS(Journal[Montant],Journal[Mois],B$3,Journal[Catégorie],"Opérationnel",Journal[Vague],"&lt;&gt;")</f>
        <v>0</v>
      </c>
      <c r="C26" s="56">
        <f>SUMIFS(Journal[Montant],Journal[Mois],C$3,Journal[Catégorie],"Opérationnel",Journal[Vague],"&lt;&gt;")</f>
        <v>0</v>
      </c>
      <c r="D26" s="56">
        <f>SUMIFS(Journal[Montant],Journal[Mois],D$3,Journal[Catégorie],"Opérationnel",Journal[Vague],"&lt;&gt;")</f>
        <v>0</v>
      </c>
      <c r="E26" s="56">
        <f>SUMIFS(Journal[Montant],Journal[Mois],E$3,Journal[Catégorie],"Opérationnel",Journal[Vague],"&lt;&gt;")</f>
        <v>0</v>
      </c>
      <c r="F26" s="56">
        <f>SUMIFS(Journal[Montant],Journal[Mois],F$3,Journal[Catégorie],"Opérationnel",Journal[Vague],"&lt;&gt;")</f>
        <v>0</v>
      </c>
      <c r="G26" s="56">
        <f>SUMIFS(Journal[Montant],Journal[Mois],G$3,Journal[Catégorie],"Opérationnel",Journal[Vague],"&lt;&gt;")</f>
        <v>0</v>
      </c>
      <c r="H26" s="56">
        <f>SUMIFS(Journal[Montant],Journal[Mois],H$3,Journal[Catégorie],"Opérationnel",Journal[Vague],"&lt;&gt;")</f>
        <v>0</v>
      </c>
      <c r="I26" s="56">
        <f>SUMIFS(Journal[Montant],Journal[Mois],I$3,Journal[Catégorie],"Opérationnel",Journal[Vague],"&lt;&gt;")</f>
        <v>0</v>
      </c>
      <c r="J26" s="56">
        <f>SUMIFS(Journal[Montant],Journal[Mois],J$3,Journal[Catégorie],"Opérationnel",Journal[Vague],"&lt;&gt;")</f>
        <v>0</v>
      </c>
      <c r="K26" s="56">
        <f>SUMIFS(Journal[Montant],Journal[Mois],K$3,Journal[Catégorie],"Opérationnel",Journal[Vague],"&lt;&gt;")</f>
        <v>0</v>
      </c>
      <c r="L26" s="56">
        <f>SUMIFS(Journal[Montant],Journal[Mois],L$3,Journal[Catégorie],"Opérationnel",Journal[Vague],"&lt;&gt;")</f>
        <v>0</v>
      </c>
      <c r="M26" s="56">
        <f>SUMIFS(Journal[Montant],Journal[Mois],M$3,Journal[Catégorie],"Opérationnel",Journal[Vague],"&lt;&gt;")</f>
        <v>0</v>
      </c>
      <c r="N26" s="56">
        <f>SUMIFS(Journal[Montant],Journal[Mois],N$3,Journal[Catégorie],"Opérationnel",Journal[Vague],"&lt;&gt;")</f>
        <v>0</v>
      </c>
      <c r="O26" s="56">
        <f>SUMIFS(Journal[Montant],Journal[Mois],O$3,Journal[Catégorie],"Opérationnel",Journal[Vague],"&lt;&gt;")</f>
        <v>0</v>
      </c>
      <c r="P26" s="56">
        <f>SUMIFS(Journal[Montant],Journal[Mois],P$3,Journal[Catégorie],"Opérationnel",Journal[Vague],"&lt;&gt;")</f>
        <v>0</v>
      </c>
      <c r="Q26" s="56">
        <f>SUMIFS(Journal[Montant],Journal[Mois],Q$3,Journal[Catégorie],"Opérationnel",Journal[Vague],"&lt;&gt;")</f>
        <v>0</v>
      </c>
      <c r="R26" s="56">
        <f>SUMIFS(Journal[Montant],Journal[Mois],R$3,Journal[Catégorie],"Opérationnel",Journal[Vague],"&lt;&gt;")</f>
        <v>0</v>
      </c>
      <c r="S26" s="56">
        <f>SUMIFS(Journal[Montant],Journal[Mois],S$3,Journal[Catégorie],"Opérationnel",Journal[Vague],"&lt;&gt;")</f>
        <v>0</v>
      </c>
      <c r="T26" s="56">
        <f>SUMIFS(Journal[Montant],Journal[Mois],T$3,Journal[Catégorie],"Opérationnel",Journal[Vague],"&lt;&gt;")</f>
        <v>0</v>
      </c>
      <c r="U26" s="56">
        <f>SUMIFS(Journal[Montant],Journal[Mois],U$3,Journal[Catégorie],"Opérationnel",Journal[Vague],"&lt;&gt;")</f>
        <v>0</v>
      </c>
      <c r="V26" s="56">
        <f>SUMIFS(Journal[Montant],Journal[Mois],V$3,Journal[Catégorie],"Opérationnel",Journal[Vague],"&lt;&gt;")</f>
        <v>0</v>
      </c>
      <c r="W26" s="56">
        <f>SUM(B26:V26)</f>
        <v>0</v>
      </c>
    </row>
    <row r="27" spans="1:23" x14ac:dyDescent="0.2">
      <c r="A27" s="70" t="s">
        <v>201</v>
      </c>
      <c r="B27" s="56"/>
      <c r="C27" s="56"/>
      <c r="D27" s="56"/>
      <c r="E27" s="56"/>
      <c r="F27" s="56"/>
      <c r="G27" s="56"/>
      <c r="H27" s="56"/>
      <c r="I27" s="56"/>
      <c r="J27" s="56"/>
      <c r="K27" s="56"/>
      <c r="L27" s="56"/>
      <c r="M27" s="56"/>
      <c r="N27" s="56"/>
      <c r="O27" s="56"/>
      <c r="P27" s="56"/>
      <c r="Q27" s="56"/>
      <c r="R27" s="56"/>
      <c r="S27" s="56"/>
      <c r="T27" s="56"/>
      <c r="U27" s="56"/>
      <c r="V27" s="56"/>
      <c r="W27" s="56"/>
    </row>
    <row r="28" spans="1:23" x14ac:dyDescent="0.2">
      <c r="A28" s="70" t="s">
        <v>230</v>
      </c>
      <c r="B28" s="56">
        <f>SUMIFS(Journal[Montant],Journal[Mois],B$3,Journal[Catégorie],"Investissement")</f>
        <v>0</v>
      </c>
      <c r="C28" s="56">
        <f>SUMIFS(Journal[Montant],Journal[Mois],C$3,Journal[Catégorie],"Investissement")</f>
        <v>0</v>
      </c>
      <c r="D28" s="56">
        <f>SUMIFS(Journal[Montant],Journal[Mois],D$3,Journal[Catégorie],"Investissement")</f>
        <v>0</v>
      </c>
      <c r="E28" s="56">
        <f>SUMIFS(Journal[Montant],Journal[Mois],E$3,Journal[Catégorie],"Investissement")</f>
        <v>0</v>
      </c>
      <c r="F28" s="56">
        <f>SUMIFS(Journal[Montant],Journal[Mois],F$3,Journal[Catégorie],"Investissement")</f>
        <v>0</v>
      </c>
      <c r="G28" s="56">
        <v>5000000</v>
      </c>
      <c r="H28" s="56">
        <v>5000000</v>
      </c>
      <c r="I28" s="56">
        <f>SUMIFS(Journal[Montant],Journal[Mois],I$3,Journal[Catégorie],"Investissement")</f>
        <v>0</v>
      </c>
      <c r="J28" s="56">
        <v>4000000</v>
      </c>
      <c r="K28" s="56">
        <f>SUMIFS(Journal[Montant],Journal[Mois],K$3,Journal[Catégorie],"Investissement")</f>
        <v>0</v>
      </c>
      <c r="L28" s="56">
        <v>4000000</v>
      </c>
      <c r="M28" s="56">
        <f>SUMIFS(Journal[Montant],Journal[Mois],M$3,Journal[Catégorie],"Investissement")</f>
        <v>0</v>
      </c>
      <c r="N28" s="56">
        <f>SUMIFS(Journal[Montant],Journal[Mois],N$3,Journal[Catégorie],"Investissement")</f>
        <v>0</v>
      </c>
      <c r="O28" s="56">
        <f>SUMIFS(Journal[Montant],Journal[Mois],O$3,Journal[Catégorie],"Investissement")</f>
        <v>0</v>
      </c>
      <c r="P28" s="56">
        <f>SUMIFS(Journal[Montant],Journal[Mois],P$3,Journal[Catégorie],"Investissement")</f>
        <v>0</v>
      </c>
      <c r="Q28" s="56">
        <f>SUMIFS(Journal[Montant],Journal[Mois],Q$3,Journal[Catégorie],"Investissement")</f>
        <v>0</v>
      </c>
      <c r="R28" s="56">
        <f>SUMIFS(Journal[Montant],Journal[Mois],R$3,Journal[Catégorie],"Investissement")</f>
        <v>0</v>
      </c>
      <c r="S28" s="56">
        <f>SUMIFS(Journal[Montant],Journal[Mois],S$3,Journal[Catégorie],"Investissement")</f>
        <v>0</v>
      </c>
      <c r="T28" s="56">
        <f>SUMIFS(Journal[Montant],Journal[Mois],T$3,Journal[Catégorie],"Investissement")</f>
        <v>0</v>
      </c>
      <c r="U28" s="56">
        <f>SUMIFS(Journal[Montant],Journal[Mois],U$3,Journal[Catégorie],"Investissement")</f>
        <v>0</v>
      </c>
      <c r="V28" s="56">
        <f>SUMIFS(Journal[Montant],Journal[Mois],V$3,Journal[Catégorie],"Investissement")</f>
        <v>0</v>
      </c>
      <c r="W28" s="56">
        <f>SUM(B28:V28)</f>
        <v>18000000</v>
      </c>
    </row>
    <row r="29" spans="1:23" x14ac:dyDescent="0.2">
      <c r="A29" s="54" t="s">
        <v>202</v>
      </c>
      <c r="B29" s="57">
        <f>SUM(B25:B28)</f>
        <v>0</v>
      </c>
      <c r="C29" s="57">
        <f>SUM(C25:C28)</f>
        <v>0</v>
      </c>
      <c r="D29" s="57">
        <f>SUM(D25:D28)</f>
        <v>0</v>
      </c>
      <c r="E29" s="57">
        <f>SUM(E25:E28)</f>
        <v>0</v>
      </c>
      <c r="F29" s="57">
        <f>SUM(F25:F28)</f>
        <v>0</v>
      </c>
      <c r="G29" s="57">
        <f>SUM(G25:G28)</f>
        <v>5000000</v>
      </c>
      <c r="H29" s="57">
        <f>SUM(H25:H28)</f>
        <v>5000000</v>
      </c>
      <c r="I29" s="57">
        <f>SUM(I25:I28)</f>
        <v>0</v>
      </c>
      <c r="J29" s="57">
        <f>SUM(J25:J28)</f>
        <v>4000000</v>
      </c>
      <c r="K29" s="57">
        <f>SUM(K25:K28)</f>
        <v>0</v>
      </c>
      <c r="L29" s="57">
        <f>SUM(L25:L28)</f>
        <v>4000000</v>
      </c>
      <c r="M29" s="57">
        <f>SUM(M25:M28)</f>
        <v>0</v>
      </c>
      <c r="N29" s="57">
        <f>SUM(N25:N28)</f>
        <v>0</v>
      </c>
      <c r="O29" s="57">
        <f>SUM(O25:O28)</f>
        <v>0</v>
      </c>
      <c r="P29" s="57">
        <f>SUM(P25:P28)</f>
        <v>0</v>
      </c>
      <c r="Q29" s="57">
        <f>SUM(Q25:Q28)</f>
        <v>0</v>
      </c>
      <c r="R29" s="57">
        <f>SUM(R25:R28)</f>
        <v>0</v>
      </c>
      <c r="S29" s="57">
        <f>SUM(S25:S28)</f>
        <v>0</v>
      </c>
      <c r="T29" s="57">
        <f>SUM(T25:T28)</f>
        <v>0</v>
      </c>
      <c r="U29" s="57">
        <f>SUM(U25:U28)</f>
        <v>0</v>
      </c>
      <c r="V29" s="57">
        <f>SUM(V25:V28)</f>
        <v>0</v>
      </c>
      <c r="W29" s="57">
        <f>SUM(B29:V29)</f>
        <v>18000000</v>
      </c>
    </row>
    <row r="30" spans="1:23" x14ac:dyDescent="0.2">
      <c r="B30" s="56"/>
      <c r="C30" s="56"/>
      <c r="D30" s="56"/>
      <c r="E30" s="56"/>
      <c r="F30" s="56"/>
      <c r="G30" s="56"/>
      <c r="H30" s="56"/>
      <c r="I30" s="56"/>
      <c r="J30" s="56"/>
      <c r="K30" s="56"/>
      <c r="L30" s="56"/>
      <c r="M30" s="56"/>
      <c r="N30" s="56"/>
      <c r="O30" s="56"/>
      <c r="P30" s="56"/>
      <c r="Q30" s="56"/>
      <c r="R30" s="56"/>
      <c r="S30" s="56"/>
      <c r="T30" s="56"/>
      <c r="U30" s="56"/>
      <c r="V30" s="56"/>
      <c r="W30" s="56"/>
    </row>
    <row r="31" spans="1:23" x14ac:dyDescent="0.2">
      <c r="A31" s="46" t="s">
        <v>203</v>
      </c>
      <c r="B31" s="64">
        <f>B11+B22+B25</f>
        <v>995000</v>
      </c>
      <c r="C31" s="64">
        <f>C11+C22+C25</f>
        <v>1070000</v>
      </c>
      <c r="D31" s="64">
        <f>D11+D22+D25</f>
        <v>1205000</v>
      </c>
      <c r="E31" s="64">
        <f>E11+E22+E25</f>
        <v>1250000</v>
      </c>
      <c r="F31" s="64">
        <f>F11+F22+F25</f>
        <v>1355000</v>
      </c>
      <c r="G31" s="64">
        <f>G11+G22+G25</f>
        <v>1385000</v>
      </c>
      <c r="H31" s="64">
        <f>H11+H22+H25</f>
        <v>1470000</v>
      </c>
      <c r="I31" s="64">
        <f>I11+I22+I25</f>
        <v>1540000</v>
      </c>
      <c r="J31" s="64">
        <f>J11+J22+J25</f>
        <v>1605000</v>
      </c>
      <c r="K31" s="64">
        <f>K11+K22+K25</f>
        <v>1605000</v>
      </c>
      <c r="L31" s="64">
        <f>L11+L22+L25</f>
        <v>1605000</v>
      </c>
      <c r="M31" s="64">
        <f>M11+M22+M25</f>
        <v>1605000</v>
      </c>
      <c r="N31" s="64">
        <f>N11+N22+N25</f>
        <v>1605000</v>
      </c>
      <c r="O31" s="64">
        <f>O11+O22+O25</f>
        <v>1605000</v>
      </c>
      <c r="P31" s="64">
        <f>P11+P22+P25</f>
        <v>1605000</v>
      </c>
      <c r="Q31" s="64">
        <f>Q11+Q22+Q25</f>
        <v>1605000</v>
      </c>
      <c r="R31" s="64">
        <f>R11+R22+R25</f>
        <v>1605000</v>
      </c>
      <c r="S31" s="64">
        <f>S11+S22+S25</f>
        <v>1605000</v>
      </c>
      <c r="T31" s="64">
        <f>T11+T22+T25</f>
        <v>1605000</v>
      </c>
      <c r="U31" s="64">
        <f>U11+U22+U25</f>
        <v>1485000</v>
      </c>
      <c r="V31" s="64">
        <f>V11+V22+V25</f>
        <v>1350000</v>
      </c>
      <c r="W31" s="64">
        <f>SUM(B31:V31)</f>
        <v>30760000</v>
      </c>
    </row>
    <row r="32" spans="1:23" x14ac:dyDescent="0.2">
      <c r="A32" s="53" t="s">
        <v>204</v>
      </c>
      <c r="B32" s="58">
        <f>B31+B26</f>
        <v>995000</v>
      </c>
      <c r="C32" s="58">
        <f>C31+C26</f>
        <v>1070000</v>
      </c>
      <c r="D32" s="58">
        <f>D31+D26</f>
        <v>1205000</v>
      </c>
      <c r="E32" s="58">
        <f>E31+E26</f>
        <v>1250000</v>
      </c>
      <c r="F32" s="58">
        <f>F31+F26</f>
        <v>1355000</v>
      </c>
      <c r="G32" s="58">
        <f>G31+G26</f>
        <v>1385000</v>
      </c>
      <c r="H32" s="58">
        <f>H31+H26</f>
        <v>1470000</v>
      </c>
      <c r="I32" s="58">
        <f>I31+I26</f>
        <v>1540000</v>
      </c>
      <c r="J32" s="58">
        <f>J31+J26</f>
        <v>1605000</v>
      </c>
      <c r="K32" s="58">
        <f>K31+K26</f>
        <v>1605000</v>
      </c>
      <c r="L32" s="58">
        <f>L31+L26</f>
        <v>1605000</v>
      </c>
      <c r="M32" s="58">
        <f>M31+M26</f>
        <v>1605000</v>
      </c>
      <c r="N32" s="58">
        <f>N31+N26</f>
        <v>1605000</v>
      </c>
      <c r="O32" s="58">
        <f>O31+O26</f>
        <v>1605000</v>
      </c>
      <c r="P32" s="58">
        <f>P31+P26</f>
        <v>1605000</v>
      </c>
      <c r="Q32" s="58">
        <f>Q31+Q26</f>
        <v>1605000</v>
      </c>
      <c r="R32" s="58">
        <f>R31+R26</f>
        <v>1605000</v>
      </c>
      <c r="S32" s="58">
        <f>S31+S26</f>
        <v>1605000</v>
      </c>
      <c r="T32" s="58">
        <f>T31+T26</f>
        <v>1605000</v>
      </c>
      <c r="U32" s="58">
        <f>U31+U26</f>
        <v>1485000</v>
      </c>
      <c r="V32" s="58">
        <f>V31+V26</f>
        <v>1350000</v>
      </c>
      <c r="W32" s="58">
        <f>SUM(B32:V32)</f>
        <v>30760000</v>
      </c>
    </row>
    <row r="33" spans="1:23" x14ac:dyDescent="0.2">
      <c r="A33" s="55" t="s">
        <v>205</v>
      </c>
      <c r="B33" s="60">
        <f t="shared" ref="B33:V33" si="4">B28</f>
        <v>0</v>
      </c>
      <c r="C33" s="60">
        <f t="shared" si="4"/>
        <v>0</v>
      </c>
      <c r="D33" s="60">
        <f t="shared" si="4"/>
        <v>0</v>
      </c>
      <c r="E33" s="60">
        <f t="shared" si="4"/>
        <v>0</v>
      </c>
      <c r="F33" s="60">
        <f t="shared" si="4"/>
        <v>0</v>
      </c>
      <c r="G33" s="60">
        <f t="shared" si="4"/>
        <v>5000000</v>
      </c>
      <c r="H33" s="60">
        <f t="shared" si="4"/>
        <v>5000000</v>
      </c>
      <c r="I33" s="60">
        <f t="shared" si="4"/>
        <v>0</v>
      </c>
      <c r="J33" s="60">
        <v>4000000</v>
      </c>
      <c r="K33" s="60">
        <v>16400000</v>
      </c>
      <c r="L33" s="60">
        <f t="shared" si="4"/>
        <v>4000000</v>
      </c>
      <c r="M33" s="60">
        <f t="shared" si="4"/>
        <v>0</v>
      </c>
      <c r="N33" s="60">
        <f t="shared" si="4"/>
        <v>0</v>
      </c>
      <c r="O33" s="60">
        <f t="shared" si="4"/>
        <v>0</v>
      </c>
      <c r="P33" s="60">
        <f t="shared" si="4"/>
        <v>0</v>
      </c>
      <c r="Q33" s="60">
        <f t="shared" si="4"/>
        <v>0</v>
      </c>
      <c r="R33" s="60">
        <f t="shared" si="4"/>
        <v>0</v>
      </c>
      <c r="S33" s="60">
        <f t="shared" si="4"/>
        <v>0</v>
      </c>
      <c r="T33" s="60">
        <f t="shared" si="4"/>
        <v>0</v>
      </c>
      <c r="U33" s="60">
        <f t="shared" si="4"/>
        <v>0</v>
      </c>
      <c r="V33" s="60">
        <f t="shared" si="4"/>
        <v>0</v>
      </c>
      <c r="W33" s="60">
        <f>SUM(B33:V33)</f>
        <v>34400000</v>
      </c>
    </row>
    <row r="34" spans="1:23" x14ac:dyDescent="0.2">
      <c r="A34" s="49" t="s">
        <v>183</v>
      </c>
      <c r="B34" s="59">
        <f t="shared" ref="B34:V34" si="5">B32+B33</f>
        <v>995000</v>
      </c>
      <c r="C34" s="59">
        <f t="shared" si="5"/>
        <v>1070000</v>
      </c>
      <c r="D34" s="59">
        <f t="shared" si="5"/>
        <v>1205000</v>
      </c>
      <c r="E34" s="59">
        <f t="shared" si="5"/>
        <v>1250000</v>
      </c>
      <c r="F34" s="59">
        <f t="shared" si="5"/>
        <v>1355000</v>
      </c>
      <c r="G34" s="59">
        <f t="shared" si="5"/>
        <v>6385000</v>
      </c>
      <c r="H34" s="59">
        <f t="shared" si="5"/>
        <v>6470000</v>
      </c>
      <c r="I34" s="59">
        <f t="shared" si="5"/>
        <v>1540000</v>
      </c>
      <c r="J34" s="59">
        <f t="shared" si="5"/>
        <v>5605000</v>
      </c>
      <c r="K34" s="59">
        <f t="shared" si="5"/>
        <v>18005000</v>
      </c>
      <c r="L34" s="59">
        <f t="shared" si="5"/>
        <v>5605000</v>
      </c>
      <c r="M34" s="59">
        <f t="shared" si="5"/>
        <v>1605000</v>
      </c>
      <c r="N34" s="59">
        <f t="shared" si="5"/>
        <v>1605000</v>
      </c>
      <c r="O34" s="59">
        <f t="shared" si="5"/>
        <v>1605000</v>
      </c>
      <c r="P34" s="59">
        <f t="shared" si="5"/>
        <v>1605000</v>
      </c>
      <c r="Q34" s="59">
        <f t="shared" si="5"/>
        <v>1605000</v>
      </c>
      <c r="R34" s="59">
        <f t="shared" si="5"/>
        <v>1605000</v>
      </c>
      <c r="S34" s="59">
        <f t="shared" si="5"/>
        <v>1605000</v>
      </c>
      <c r="T34" s="59">
        <f t="shared" si="5"/>
        <v>1605000</v>
      </c>
      <c r="U34" s="59">
        <f t="shared" si="5"/>
        <v>1485000</v>
      </c>
      <c r="V34" s="59">
        <f t="shared" si="5"/>
        <v>1350000</v>
      </c>
      <c r="W34" s="59">
        <f>SUM(B34:V34)</f>
        <v>65160000</v>
      </c>
    </row>
    <row r="35" spans="1:23" x14ac:dyDescent="0.2">
      <c r="B35" s="56"/>
      <c r="C35" s="56"/>
      <c r="D35" s="56"/>
      <c r="E35" s="56"/>
      <c r="F35" s="56"/>
      <c r="G35" s="56"/>
      <c r="H35" s="56"/>
      <c r="I35" s="56"/>
      <c r="J35" s="56"/>
      <c r="K35" s="56"/>
      <c r="L35" s="56"/>
      <c r="M35" s="56"/>
      <c r="N35" s="56"/>
      <c r="O35" s="56"/>
      <c r="P35" s="56"/>
      <c r="Q35" s="56"/>
      <c r="R35" s="56"/>
      <c r="S35" s="56"/>
      <c r="T35" s="56"/>
      <c r="U35" s="56"/>
      <c r="V35" s="56"/>
      <c r="W35" s="56"/>
    </row>
    <row r="36" spans="1:23" x14ac:dyDescent="0.2">
      <c r="A36" s="46" t="s">
        <v>184</v>
      </c>
      <c r="B36" s="64">
        <f>Prévisions!B28</f>
        <v>698400</v>
      </c>
      <c r="C36" s="64">
        <f>Prévisions!C28</f>
        <v>3004000</v>
      </c>
      <c r="D36" s="64">
        <f>Prévisions!D28</f>
        <v>5534464</v>
      </c>
      <c r="E36" s="64">
        <f>Prévisions!E28</f>
        <v>7747840</v>
      </c>
      <c r="F36" s="64">
        <f>Prévisions!F28</f>
        <v>9840736</v>
      </c>
      <c r="G36" s="64">
        <f>Prévisions!G28</f>
        <v>11190432</v>
      </c>
      <c r="H36" s="64">
        <f>Prévisions!H28</f>
        <v>13565988</v>
      </c>
      <c r="I36" s="64">
        <f>Prévisions!I28</f>
        <v>15945900</v>
      </c>
      <c r="J36" s="64">
        <f>Prévisions!J28</f>
        <v>17145600</v>
      </c>
      <c r="K36" s="64">
        <f>Prévisions!K28</f>
        <v>17145600</v>
      </c>
      <c r="L36" s="64">
        <f>Prévisions!L28</f>
        <v>17145600</v>
      </c>
      <c r="M36" s="64">
        <f>Prévisions!M28</f>
        <v>17145600</v>
      </c>
      <c r="N36" s="64">
        <f>Prévisions!N28</f>
        <v>17145600</v>
      </c>
      <c r="O36" s="64">
        <f>Prévisions!O28</f>
        <v>17145600</v>
      </c>
      <c r="P36" s="64">
        <f>Prévisions!P28</f>
        <v>17145600</v>
      </c>
      <c r="Q36" s="64">
        <f>Prévisions!Q28</f>
        <v>17145600</v>
      </c>
      <c r="R36" s="64">
        <f>Prévisions!R28</f>
        <v>17145600</v>
      </c>
      <c r="S36" s="64">
        <f>Prévisions!S28</f>
        <v>17145600</v>
      </c>
      <c r="T36" s="64">
        <f>Prévisions!T28</f>
        <v>17145600</v>
      </c>
      <c r="U36" s="64">
        <f>Prévisions!U28</f>
        <v>14683740</v>
      </c>
      <c r="V36" s="64">
        <f>Prévisions!V28</f>
        <v>6556500</v>
      </c>
      <c r="W36" s="64">
        <f>SUM(B36:V36)</f>
        <v>277369600</v>
      </c>
    </row>
    <row r="37" spans="1:23" x14ac:dyDescent="0.2">
      <c r="A37" s="46" t="s">
        <v>185</v>
      </c>
      <c r="B37" s="64">
        <f>Prévisions!B29</f>
        <v>0</v>
      </c>
      <c r="C37" s="64">
        <f>Prévisions!C29</f>
        <v>0</v>
      </c>
      <c r="D37" s="64">
        <f>Prévisions!D29</f>
        <v>0</v>
      </c>
      <c r="E37" s="64">
        <f>Prévisions!E29</f>
        <v>0</v>
      </c>
      <c r="F37" s="64">
        <f>Prévisions!F29</f>
        <v>0</v>
      </c>
      <c r="G37" s="64">
        <f>Prévisions!G29</f>
        <v>0</v>
      </c>
      <c r="H37" s="64">
        <f>Prévisions!H29</f>
        <v>0</v>
      </c>
      <c r="I37" s="64">
        <f>Prévisions!I29</f>
        <v>0</v>
      </c>
      <c r="J37" s="64">
        <f>Prévisions!J29</f>
        <v>0</v>
      </c>
      <c r="K37" s="64">
        <f>Prévisions!K29</f>
        <v>0</v>
      </c>
      <c r="L37" s="64">
        <f>Prévisions!L29</f>
        <v>0</v>
      </c>
      <c r="M37" s="64">
        <f>Prévisions!M29</f>
        <v>0</v>
      </c>
      <c r="N37" s="64">
        <f>Prévisions!N29</f>
        <v>0</v>
      </c>
      <c r="O37" s="64">
        <f>Prévisions!O29</f>
        <v>0</v>
      </c>
      <c r="P37" s="64">
        <f>Prévisions!P29</f>
        <v>0</v>
      </c>
      <c r="Q37" s="64">
        <f>Prévisions!Q29</f>
        <v>0</v>
      </c>
      <c r="R37" s="64">
        <f>Prévisions!R29</f>
        <v>0</v>
      </c>
      <c r="S37" s="64">
        <f>Prévisions!S29</f>
        <v>0</v>
      </c>
      <c r="T37" s="64">
        <f>Prévisions!T29</f>
        <v>0</v>
      </c>
      <c r="U37" s="64">
        <f>Prévisions!U29</f>
        <v>0</v>
      </c>
      <c r="V37" s="64">
        <f>Prévisions!V29</f>
        <v>0</v>
      </c>
      <c r="W37" s="64">
        <f>SUM(B37:V37)</f>
        <v>0</v>
      </c>
    </row>
    <row r="38" spans="1:23" x14ac:dyDescent="0.2">
      <c r="A38" s="55" t="s">
        <v>186</v>
      </c>
      <c r="B38" s="60">
        <f t="shared" ref="B38:V38" si="6">B34+B36+B37</f>
        <v>1693400</v>
      </c>
      <c r="C38" s="60">
        <f t="shared" si="6"/>
        <v>4074000</v>
      </c>
      <c r="D38" s="60">
        <f t="shared" si="6"/>
        <v>6739464</v>
      </c>
      <c r="E38" s="60">
        <f t="shared" si="6"/>
        <v>8997840</v>
      </c>
      <c r="F38" s="60">
        <f t="shared" si="6"/>
        <v>11195736</v>
      </c>
      <c r="G38" s="60">
        <f t="shared" si="6"/>
        <v>17575432</v>
      </c>
      <c r="H38" s="60">
        <f t="shared" si="6"/>
        <v>20035988</v>
      </c>
      <c r="I38" s="60">
        <f t="shared" si="6"/>
        <v>17485900</v>
      </c>
      <c r="J38" s="60">
        <f t="shared" si="6"/>
        <v>22750600</v>
      </c>
      <c r="K38" s="60">
        <f t="shared" si="6"/>
        <v>35150600</v>
      </c>
      <c r="L38" s="60">
        <f t="shared" si="6"/>
        <v>22750600</v>
      </c>
      <c r="M38" s="60">
        <f t="shared" si="6"/>
        <v>18750600</v>
      </c>
      <c r="N38" s="60">
        <f t="shared" si="6"/>
        <v>18750600</v>
      </c>
      <c r="O38" s="60">
        <f t="shared" si="6"/>
        <v>18750600</v>
      </c>
      <c r="P38" s="60">
        <f t="shared" si="6"/>
        <v>18750600</v>
      </c>
      <c r="Q38" s="60">
        <f t="shared" si="6"/>
        <v>18750600</v>
      </c>
      <c r="R38" s="60">
        <f t="shared" si="6"/>
        <v>18750600</v>
      </c>
      <c r="S38" s="60">
        <f t="shared" si="6"/>
        <v>18750600</v>
      </c>
      <c r="T38" s="60">
        <f t="shared" si="6"/>
        <v>18750600</v>
      </c>
      <c r="U38" s="60">
        <f t="shared" si="6"/>
        <v>16168740</v>
      </c>
      <c r="V38" s="60">
        <f t="shared" si="6"/>
        <v>7906500</v>
      </c>
      <c r="W38" s="60">
        <f>SUM(B38:V38)</f>
        <v>342529600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08C87-6000-DE4E-A2FF-A966979DDCB7}">
  <dimension ref="A1:F200"/>
  <sheetViews>
    <sheetView workbookViewId="0">
      <pane ySplit="4" topLeftCell="A5" activePane="bottomLeft" state="frozen"/>
      <selection pane="bottomLeft"/>
    </sheetView>
  </sheetViews>
  <sheetFormatPr baseColWidth="10" defaultRowHeight="15" x14ac:dyDescent="0.2"/>
  <cols>
    <col min="1" max="1" width="15.83203125" customWidth="1"/>
    <col min="2" max="2" width="12.5" customWidth="1"/>
    <col min="3" max="3" width="43.33203125" customWidth="1"/>
    <col min="4" max="4" width="19.1640625" customWidth="1"/>
    <col min="5" max="5" width="20" customWidth="1"/>
  </cols>
  <sheetData>
    <row r="1" spans="1:6" ht="17" x14ac:dyDescent="0.2">
      <c r="A1" s="47" t="s">
        <v>190</v>
      </c>
    </row>
    <row r="2" spans="1:6" x14ac:dyDescent="0.2">
      <c r="A2" s="48" t="s">
        <v>191</v>
      </c>
    </row>
    <row r="4" spans="1:6" x14ac:dyDescent="0.2">
      <c r="A4" t="s">
        <v>100</v>
      </c>
      <c r="B4" t="s">
        <v>59</v>
      </c>
      <c r="C4" t="s">
        <v>192</v>
      </c>
      <c r="D4" t="s">
        <v>193</v>
      </c>
      <c r="E4" t="s">
        <v>206</v>
      </c>
      <c r="F4" s="46" t="s">
        <v>207</v>
      </c>
    </row>
    <row r="5" spans="1:6" x14ac:dyDescent="0.2">
      <c r="A5" s="69">
        <v>46327</v>
      </c>
      <c r="B5" s="43" t="s">
        <v>73</v>
      </c>
      <c r="C5" s="43" t="s">
        <v>194</v>
      </c>
      <c r="D5" s="43" t="s">
        <v>195</v>
      </c>
      <c r="E5" s="62">
        <v>0</v>
      </c>
      <c r="F5" s="43"/>
    </row>
    <row r="6" spans="1:6" x14ac:dyDescent="0.2">
      <c r="A6" s="69">
        <v>46327</v>
      </c>
      <c r="B6" s="43"/>
      <c r="C6" s="43" t="s">
        <v>196</v>
      </c>
      <c r="D6" s="43" t="s">
        <v>197</v>
      </c>
      <c r="E6" s="62">
        <v>0</v>
      </c>
      <c r="F6" s="43"/>
    </row>
    <row r="7" spans="1:6" x14ac:dyDescent="0.2">
      <c r="A7" s="69"/>
      <c r="B7" s="43"/>
      <c r="C7" s="43"/>
      <c r="D7" s="43"/>
      <c r="E7" s="62"/>
    </row>
    <row r="8" spans="1:6" x14ac:dyDescent="0.2">
      <c r="A8" s="69"/>
      <c r="B8" s="43"/>
      <c r="C8" s="43"/>
      <c r="D8" s="43"/>
      <c r="E8" s="62"/>
    </row>
    <row r="9" spans="1:6" x14ac:dyDescent="0.2">
      <c r="A9" s="69"/>
      <c r="B9" s="43"/>
      <c r="C9" s="43"/>
      <c r="D9" s="43"/>
      <c r="E9" s="62"/>
    </row>
    <row r="10" spans="1:6" x14ac:dyDescent="0.2">
      <c r="A10" s="69"/>
      <c r="B10" s="43"/>
      <c r="C10" s="43"/>
      <c r="D10" s="43"/>
      <c r="E10" s="62"/>
    </row>
    <row r="11" spans="1:6" x14ac:dyDescent="0.2">
      <c r="A11" s="69"/>
      <c r="B11" s="43"/>
      <c r="C11" s="43"/>
      <c r="D11" s="43"/>
      <c r="E11" s="62"/>
    </row>
    <row r="12" spans="1:6" x14ac:dyDescent="0.2">
      <c r="A12" s="69"/>
      <c r="B12" s="43"/>
      <c r="C12" s="43"/>
      <c r="D12" s="43"/>
      <c r="E12" s="62"/>
    </row>
    <row r="13" spans="1:6" x14ac:dyDescent="0.2">
      <c r="A13" s="69"/>
      <c r="B13" s="43"/>
      <c r="C13" s="43"/>
      <c r="D13" s="43"/>
      <c r="E13" s="62"/>
    </row>
    <row r="14" spans="1:6" x14ac:dyDescent="0.2">
      <c r="A14" s="69"/>
      <c r="B14" s="43"/>
      <c r="C14" s="43"/>
      <c r="D14" s="43"/>
      <c r="E14" s="62"/>
    </row>
    <row r="15" spans="1:6" x14ac:dyDescent="0.2">
      <c r="A15" s="69"/>
      <c r="B15" s="43"/>
      <c r="C15" s="43"/>
      <c r="D15" s="43"/>
      <c r="E15" s="62"/>
    </row>
    <row r="16" spans="1:6" x14ac:dyDescent="0.2">
      <c r="A16" s="69"/>
      <c r="B16" s="43"/>
      <c r="C16" s="43"/>
      <c r="D16" s="43"/>
      <c r="E16" s="62"/>
    </row>
    <row r="17" spans="1:5" x14ac:dyDescent="0.2">
      <c r="A17" s="69"/>
      <c r="B17" s="43"/>
      <c r="C17" s="43"/>
      <c r="D17" s="43"/>
      <c r="E17" s="62"/>
    </row>
    <row r="18" spans="1:5" x14ac:dyDescent="0.2">
      <c r="A18" s="69"/>
      <c r="B18" s="43"/>
      <c r="C18" s="43"/>
      <c r="D18" s="43"/>
      <c r="E18" s="62"/>
    </row>
    <row r="19" spans="1:5" x14ac:dyDescent="0.2">
      <c r="A19" s="69"/>
      <c r="B19" s="43"/>
      <c r="C19" s="43"/>
      <c r="D19" s="43"/>
      <c r="E19" s="62"/>
    </row>
    <row r="20" spans="1:5" x14ac:dyDescent="0.2">
      <c r="A20" s="69"/>
      <c r="B20" s="43"/>
      <c r="C20" s="43"/>
      <c r="D20" s="43"/>
      <c r="E20" s="62"/>
    </row>
    <row r="21" spans="1:5" x14ac:dyDescent="0.2">
      <c r="A21" s="69"/>
      <c r="B21" s="43"/>
      <c r="C21" s="43"/>
      <c r="D21" s="43"/>
      <c r="E21" s="62"/>
    </row>
    <row r="22" spans="1:5" x14ac:dyDescent="0.2">
      <c r="A22" s="69"/>
      <c r="B22" s="43"/>
      <c r="C22" s="43"/>
      <c r="D22" s="43"/>
      <c r="E22" s="62"/>
    </row>
    <row r="23" spans="1:5" x14ac:dyDescent="0.2">
      <c r="A23" s="69"/>
      <c r="B23" s="43"/>
      <c r="C23" s="43"/>
      <c r="D23" s="43"/>
      <c r="E23" s="62"/>
    </row>
    <row r="24" spans="1:5" x14ac:dyDescent="0.2">
      <c r="A24" s="69"/>
      <c r="B24" s="43"/>
      <c r="C24" s="43"/>
      <c r="D24" s="43"/>
      <c r="E24" s="62"/>
    </row>
    <row r="25" spans="1:5" x14ac:dyDescent="0.2">
      <c r="A25" s="69"/>
      <c r="B25" s="43"/>
      <c r="C25" s="43"/>
      <c r="D25" s="43"/>
      <c r="E25" s="62"/>
    </row>
    <row r="26" spans="1:5" x14ac:dyDescent="0.2">
      <c r="A26" s="69"/>
      <c r="B26" s="43"/>
      <c r="C26" s="43"/>
      <c r="D26" s="43"/>
      <c r="E26" s="62"/>
    </row>
    <row r="27" spans="1:5" x14ac:dyDescent="0.2">
      <c r="A27" s="69"/>
      <c r="B27" s="43"/>
      <c r="C27" s="43"/>
      <c r="D27" s="43"/>
      <c r="E27" s="62"/>
    </row>
    <row r="28" spans="1:5" x14ac:dyDescent="0.2">
      <c r="A28" s="69"/>
      <c r="B28" s="43"/>
      <c r="C28" s="43"/>
      <c r="D28" s="43"/>
      <c r="E28" s="62"/>
    </row>
    <row r="29" spans="1:5" x14ac:dyDescent="0.2">
      <c r="A29" s="69"/>
      <c r="B29" s="43"/>
      <c r="C29" s="43"/>
      <c r="D29" s="43"/>
      <c r="E29" s="62"/>
    </row>
    <row r="30" spans="1:5" x14ac:dyDescent="0.2">
      <c r="A30" s="69"/>
      <c r="B30" s="43"/>
      <c r="C30" s="43"/>
      <c r="D30" s="43"/>
      <c r="E30" s="62"/>
    </row>
    <row r="31" spans="1:5" x14ac:dyDescent="0.2">
      <c r="A31" s="69"/>
      <c r="B31" s="43"/>
      <c r="C31" s="43"/>
      <c r="D31" s="43"/>
      <c r="E31" s="62"/>
    </row>
    <row r="32" spans="1:5" x14ac:dyDescent="0.2">
      <c r="A32" s="69"/>
      <c r="B32" s="43"/>
      <c r="C32" s="43"/>
      <c r="D32" s="43"/>
      <c r="E32" s="62"/>
    </row>
    <row r="33" spans="1:5" x14ac:dyDescent="0.2">
      <c r="A33" s="69"/>
      <c r="B33" s="43"/>
      <c r="C33" s="43"/>
      <c r="D33" s="43"/>
      <c r="E33" s="62"/>
    </row>
    <row r="34" spans="1:5" x14ac:dyDescent="0.2">
      <c r="A34" s="69"/>
      <c r="B34" s="43"/>
      <c r="C34" s="43"/>
      <c r="D34" s="43"/>
      <c r="E34" s="62"/>
    </row>
    <row r="35" spans="1:5" x14ac:dyDescent="0.2">
      <c r="A35" s="69"/>
      <c r="B35" s="43"/>
      <c r="C35" s="43"/>
      <c r="D35" s="43"/>
      <c r="E35" s="62"/>
    </row>
    <row r="36" spans="1:5" x14ac:dyDescent="0.2">
      <c r="A36" s="69"/>
      <c r="B36" s="43"/>
      <c r="C36" s="43"/>
      <c r="D36" s="43"/>
      <c r="E36" s="62"/>
    </row>
    <row r="37" spans="1:5" x14ac:dyDescent="0.2">
      <c r="A37" s="69"/>
      <c r="B37" s="43"/>
      <c r="C37" s="43"/>
      <c r="D37" s="43"/>
      <c r="E37" s="62"/>
    </row>
    <row r="38" spans="1:5" x14ac:dyDescent="0.2">
      <c r="A38" s="69"/>
      <c r="B38" s="43"/>
      <c r="C38" s="43"/>
      <c r="D38" s="43"/>
      <c r="E38" s="62"/>
    </row>
    <row r="39" spans="1:5" x14ac:dyDescent="0.2">
      <c r="A39" s="69"/>
      <c r="B39" s="43"/>
      <c r="C39" s="43"/>
      <c r="D39" s="43"/>
      <c r="E39" s="62"/>
    </row>
    <row r="40" spans="1:5" x14ac:dyDescent="0.2">
      <c r="A40" s="69"/>
      <c r="B40" s="43"/>
      <c r="C40" s="43"/>
      <c r="D40" s="43"/>
      <c r="E40" s="62"/>
    </row>
    <row r="41" spans="1:5" x14ac:dyDescent="0.2">
      <c r="A41" s="69"/>
      <c r="B41" s="43"/>
      <c r="C41" s="43"/>
      <c r="D41" s="43"/>
      <c r="E41" s="62"/>
    </row>
    <row r="42" spans="1:5" x14ac:dyDescent="0.2">
      <c r="A42" s="69"/>
      <c r="B42" s="43"/>
      <c r="C42" s="43"/>
      <c r="D42" s="43"/>
      <c r="E42" s="62"/>
    </row>
    <row r="43" spans="1:5" x14ac:dyDescent="0.2">
      <c r="A43" s="69"/>
      <c r="B43" s="43"/>
      <c r="C43" s="43"/>
      <c r="D43" s="43"/>
      <c r="E43" s="62"/>
    </row>
    <row r="44" spans="1:5" x14ac:dyDescent="0.2">
      <c r="A44" s="69"/>
      <c r="B44" s="43"/>
      <c r="C44" s="43"/>
      <c r="D44" s="43"/>
      <c r="E44" s="62"/>
    </row>
    <row r="45" spans="1:5" x14ac:dyDescent="0.2">
      <c r="A45" s="69"/>
      <c r="B45" s="43"/>
      <c r="C45" s="43"/>
      <c r="D45" s="43"/>
      <c r="E45" s="62"/>
    </row>
    <row r="46" spans="1:5" x14ac:dyDescent="0.2">
      <c r="A46" s="69"/>
      <c r="B46" s="43"/>
      <c r="C46" s="43"/>
      <c r="D46" s="43"/>
      <c r="E46" s="62"/>
    </row>
    <row r="47" spans="1:5" x14ac:dyDescent="0.2">
      <c r="A47" s="69"/>
      <c r="B47" s="43"/>
      <c r="C47" s="43"/>
      <c r="D47" s="43"/>
      <c r="E47" s="62"/>
    </row>
    <row r="48" spans="1:5" x14ac:dyDescent="0.2">
      <c r="A48" s="69"/>
      <c r="B48" s="43"/>
      <c r="C48" s="43"/>
      <c r="D48" s="43"/>
      <c r="E48" s="62"/>
    </row>
    <row r="49" spans="1:5" x14ac:dyDescent="0.2">
      <c r="A49" s="69"/>
      <c r="B49" s="43"/>
      <c r="C49" s="43"/>
      <c r="D49" s="43"/>
      <c r="E49" s="62"/>
    </row>
    <row r="50" spans="1:5" x14ac:dyDescent="0.2">
      <c r="A50" s="69"/>
      <c r="B50" s="43"/>
      <c r="C50" s="43"/>
      <c r="D50" s="43"/>
      <c r="E50" s="62"/>
    </row>
    <row r="51" spans="1:5" x14ac:dyDescent="0.2">
      <c r="A51" s="69"/>
      <c r="B51" s="43"/>
      <c r="C51" s="43"/>
      <c r="D51" s="43"/>
      <c r="E51" s="62"/>
    </row>
    <row r="52" spans="1:5" x14ac:dyDescent="0.2">
      <c r="A52" s="69"/>
      <c r="B52" s="43"/>
      <c r="C52" s="43"/>
      <c r="D52" s="43"/>
      <c r="E52" s="62"/>
    </row>
    <row r="53" spans="1:5" x14ac:dyDescent="0.2">
      <c r="A53" s="69"/>
      <c r="B53" s="43"/>
      <c r="C53" s="43"/>
      <c r="D53" s="43"/>
      <c r="E53" s="62"/>
    </row>
    <row r="54" spans="1:5" x14ac:dyDescent="0.2">
      <c r="A54" s="69"/>
      <c r="B54" s="43"/>
      <c r="C54" s="43"/>
      <c r="D54" s="43"/>
      <c r="E54" s="62"/>
    </row>
    <row r="55" spans="1:5" x14ac:dyDescent="0.2">
      <c r="A55" s="69"/>
      <c r="B55" s="43"/>
      <c r="C55" s="43"/>
      <c r="D55" s="43"/>
      <c r="E55" s="62"/>
    </row>
    <row r="56" spans="1:5" x14ac:dyDescent="0.2">
      <c r="A56" s="69"/>
      <c r="B56" s="43"/>
      <c r="C56" s="43"/>
      <c r="D56" s="43"/>
      <c r="E56" s="62"/>
    </row>
    <row r="57" spans="1:5" x14ac:dyDescent="0.2">
      <c r="A57" s="69"/>
      <c r="B57" s="43"/>
      <c r="C57" s="43"/>
      <c r="D57" s="43"/>
      <c r="E57" s="62"/>
    </row>
    <row r="58" spans="1:5" x14ac:dyDescent="0.2">
      <c r="A58" s="69"/>
      <c r="B58" s="43"/>
      <c r="C58" s="43"/>
      <c r="D58" s="43"/>
      <c r="E58" s="62"/>
    </row>
    <row r="59" spans="1:5" x14ac:dyDescent="0.2">
      <c r="A59" s="69"/>
      <c r="B59" s="43"/>
      <c r="C59" s="43"/>
      <c r="D59" s="43"/>
      <c r="E59" s="62"/>
    </row>
    <row r="60" spans="1:5" x14ac:dyDescent="0.2">
      <c r="A60" s="69"/>
      <c r="B60" s="43"/>
      <c r="C60" s="43"/>
      <c r="D60" s="43"/>
      <c r="E60" s="62"/>
    </row>
    <row r="61" spans="1:5" x14ac:dyDescent="0.2">
      <c r="A61" s="69"/>
      <c r="B61" s="43"/>
      <c r="C61" s="43"/>
      <c r="D61" s="43"/>
      <c r="E61" s="62"/>
    </row>
    <row r="62" spans="1:5" x14ac:dyDescent="0.2">
      <c r="A62" s="69"/>
      <c r="B62" s="43"/>
      <c r="C62" s="43"/>
      <c r="D62" s="43"/>
      <c r="E62" s="62"/>
    </row>
    <row r="63" spans="1:5" x14ac:dyDescent="0.2">
      <c r="A63" s="69"/>
      <c r="B63" s="43"/>
      <c r="C63" s="43"/>
      <c r="D63" s="43"/>
      <c r="E63" s="62"/>
    </row>
    <row r="64" spans="1:5" x14ac:dyDescent="0.2">
      <c r="A64" s="69"/>
      <c r="B64" s="43"/>
      <c r="C64" s="43"/>
      <c r="D64" s="43"/>
      <c r="E64" s="62"/>
    </row>
    <row r="65" spans="1:5" x14ac:dyDescent="0.2">
      <c r="A65" s="69"/>
      <c r="B65" s="43"/>
      <c r="C65" s="43"/>
      <c r="D65" s="43"/>
      <c r="E65" s="62"/>
    </row>
    <row r="66" spans="1:5" x14ac:dyDescent="0.2">
      <c r="A66" s="69"/>
      <c r="B66" s="43"/>
      <c r="C66" s="43"/>
      <c r="D66" s="43"/>
      <c r="E66" s="62"/>
    </row>
    <row r="67" spans="1:5" x14ac:dyDescent="0.2">
      <c r="A67" s="69"/>
      <c r="B67" s="43"/>
      <c r="C67" s="43"/>
      <c r="D67" s="43"/>
      <c r="E67" s="62"/>
    </row>
    <row r="68" spans="1:5" x14ac:dyDescent="0.2">
      <c r="A68" s="69"/>
      <c r="B68" s="43"/>
      <c r="C68" s="43"/>
      <c r="D68" s="43"/>
      <c r="E68" s="62"/>
    </row>
    <row r="69" spans="1:5" x14ac:dyDescent="0.2">
      <c r="A69" s="69"/>
      <c r="B69" s="43"/>
      <c r="C69" s="43"/>
      <c r="D69" s="43"/>
      <c r="E69" s="62"/>
    </row>
    <row r="70" spans="1:5" x14ac:dyDescent="0.2">
      <c r="A70" s="69"/>
      <c r="B70" s="43"/>
      <c r="C70" s="43"/>
      <c r="D70" s="43"/>
      <c r="E70" s="62"/>
    </row>
    <row r="71" spans="1:5" x14ac:dyDescent="0.2">
      <c r="A71" s="69"/>
      <c r="B71" s="43"/>
      <c r="C71" s="43"/>
      <c r="D71" s="43"/>
      <c r="E71" s="62"/>
    </row>
    <row r="72" spans="1:5" x14ac:dyDescent="0.2">
      <c r="A72" s="69"/>
      <c r="B72" s="43"/>
      <c r="C72" s="43"/>
      <c r="D72" s="43"/>
      <c r="E72" s="62"/>
    </row>
    <row r="73" spans="1:5" x14ac:dyDescent="0.2">
      <c r="A73" s="69"/>
      <c r="B73" s="43"/>
      <c r="C73" s="43"/>
      <c r="D73" s="43"/>
      <c r="E73" s="62"/>
    </row>
    <row r="74" spans="1:5" x14ac:dyDescent="0.2">
      <c r="A74" s="69"/>
      <c r="B74" s="43"/>
      <c r="C74" s="43"/>
      <c r="D74" s="43"/>
      <c r="E74" s="62"/>
    </row>
    <row r="75" spans="1:5" x14ac:dyDescent="0.2">
      <c r="A75" s="69"/>
      <c r="B75" s="43"/>
      <c r="C75" s="43"/>
      <c r="D75" s="43"/>
      <c r="E75" s="62"/>
    </row>
    <row r="76" spans="1:5" x14ac:dyDescent="0.2">
      <c r="A76" s="69"/>
      <c r="B76" s="43"/>
      <c r="C76" s="43"/>
      <c r="D76" s="43"/>
      <c r="E76" s="62"/>
    </row>
    <row r="77" spans="1:5" x14ac:dyDescent="0.2">
      <c r="A77" s="69"/>
      <c r="B77" s="43"/>
      <c r="C77" s="43"/>
      <c r="D77" s="43"/>
      <c r="E77" s="62"/>
    </row>
    <row r="78" spans="1:5" x14ac:dyDescent="0.2">
      <c r="A78" s="69"/>
      <c r="B78" s="43"/>
      <c r="C78" s="43"/>
      <c r="D78" s="43"/>
      <c r="E78" s="62"/>
    </row>
    <row r="79" spans="1:5" x14ac:dyDescent="0.2">
      <c r="A79" s="69"/>
      <c r="B79" s="43"/>
      <c r="C79" s="43"/>
      <c r="D79" s="43"/>
      <c r="E79" s="62"/>
    </row>
    <row r="80" spans="1:5" x14ac:dyDescent="0.2">
      <c r="A80" s="69"/>
      <c r="B80" s="43"/>
      <c r="C80" s="43"/>
      <c r="D80" s="43"/>
      <c r="E80" s="62"/>
    </row>
    <row r="81" spans="1:5" x14ac:dyDescent="0.2">
      <c r="A81" s="69"/>
      <c r="B81" s="43"/>
      <c r="C81" s="43"/>
      <c r="D81" s="43"/>
      <c r="E81" s="62"/>
    </row>
    <row r="82" spans="1:5" x14ac:dyDescent="0.2">
      <c r="A82" s="69"/>
      <c r="B82" s="43"/>
      <c r="C82" s="43"/>
      <c r="D82" s="43"/>
      <c r="E82" s="62"/>
    </row>
    <row r="83" spans="1:5" x14ac:dyDescent="0.2">
      <c r="A83" s="69"/>
      <c r="B83" s="43"/>
      <c r="C83" s="43"/>
      <c r="D83" s="43"/>
      <c r="E83" s="62"/>
    </row>
    <row r="84" spans="1:5" x14ac:dyDescent="0.2">
      <c r="A84" s="69"/>
      <c r="B84" s="43"/>
      <c r="C84" s="43"/>
      <c r="D84" s="43"/>
      <c r="E84" s="62"/>
    </row>
    <row r="85" spans="1:5" x14ac:dyDescent="0.2">
      <c r="A85" s="69"/>
      <c r="B85" s="43"/>
      <c r="C85" s="43"/>
      <c r="D85" s="43"/>
      <c r="E85" s="62"/>
    </row>
    <row r="86" spans="1:5" x14ac:dyDescent="0.2">
      <c r="A86" s="69"/>
      <c r="B86" s="43"/>
      <c r="C86" s="43"/>
      <c r="D86" s="43"/>
      <c r="E86" s="62"/>
    </row>
    <row r="87" spans="1:5" x14ac:dyDescent="0.2">
      <c r="A87" s="69"/>
      <c r="B87" s="43"/>
      <c r="C87" s="43"/>
      <c r="D87" s="43"/>
      <c r="E87" s="62"/>
    </row>
    <row r="88" spans="1:5" x14ac:dyDescent="0.2">
      <c r="A88" s="69"/>
      <c r="B88" s="43"/>
      <c r="C88" s="43"/>
      <c r="D88" s="43"/>
      <c r="E88" s="62"/>
    </row>
    <row r="89" spans="1:5" x14ac:dyDescent="0.2">
      <c r="A89" s="69"/>
      <c r="B89" s="43"/>
      <c r="C89" s="43"/>
      <c r="D89" s="43"/>
      <c r="E89" s="62"/>
    </row>
    <row r="90" spans="1:5" x14ac:dyDescent="0.2">
      <c r="A90" s="69"/>
      <c r="B90" s="43"/>
      <c r="C90" s="43"/>
      <c r="D90" s="43"/>
      <c r="E90" s="62"/>
    </row>
    <row r="91" spans="1:5" x14ac:dyDescent="0.2">
      <c r="A91" s="69"/>
      <c r="B91" s="43"/>
      <c r="C91" s="43"/>
      <c r="D91" s="43"/>
      <c r="E91" s="62"/>
    </row>
    <row r="92" spans="1:5" x14ac:dyDescent="0.2">
      <c r="A92" s="69"/>
      <c r="B92" s="43"/>
      <c r="C92" s="43"/>
      <c r="D92" s="43"/>
      <c r="E92" s="62"/>
    </row>
    <row r="93" spans="1:5" x14ac:dyDescent="0.2">
      <c r="A93" s="69"/>
      <c r="B93" s="43"/>
      <c r="C93" s="43"/>
      <c r="D93" s="43"/>
      <c r="E93" s="62"/>
    </row>
    <row r="94" spans="1:5" x14ac:dyDescent="0.2">
      <c r="A94" s="69"/>
      <c r="B94" s="43"/>
      <c r="C94" s="43"/>
      <c r="D94" s="43"/>
      <c r="E94" s="62"/>
    </row>
    <row r="95" spans="1:5" x14ac:dyDescent="0.2">
      <c r="A95" s="69"/>
      <c r="B95" s="43"/>
      <c r="C95" s="43"/>
      <c r="D95" s="43"/>
      <c r="E95" s="62"/>
    </row>
    <row r="96" spans="1:5" x14ac:dyDescent="0.2">
      <c r="A96" s="69"/>
      <c r="B96" s="43"/>
      <c r="C96" s="43"/>
      <c r="D96" s="43"/>
      <c r="E96" s="62"/>
    </row>
    <row r="97" spans="1:5" x14ac:dyDescent="0.2">
      <c r="A97" s="69"/>
      <c r="B97" s="43"/>
      <c r="C97" s="43"/>
      <c r="D97" s="43"/>
      <c r="E97" s="62"/>
    </row>
    <row r="98" spans="1:5" x14ac:dyDescent="0.2">
      <c r="A98" s="69"/>
      <c r="B98" s="43"/>
      <c r="C98" s="43"/>
      <c r="D98" s="43"/>
      <c r="E98" s="62"/>
    </row>
    <row r="99" spans="1:5" x14ac:dyDescent="0.2">
      <c r="A99" s="69"/>
      <c r="B99" s="43"/>
      <c r="C99" s="43"/>
      <c r="D99" s="43"/>
      <c r="E99" s="62"/>
    </row>
    <row r="100" spans="1:5" x14ac:dyDescent="0.2">
      <c r="A100" s="69"/>
      <c r="B100" s="43"/>
      <c r="C100" s="43"/>
      <c r="D100" s="43"/>
      <c r="E100" s="62"/>
    </row>
    <row r="101" spans="1:5" x14ac:dyDescent="0.2">
      <c r="A101" s="69"/>
      <c r="B101" s="43"/>
      <c r="C101" s="43"/>
      <c r="D101" s="43"/>
      <c r="E101" s="62"/>
    </row>
    <row r="102" spans="1:5" x14ac:dyDescent="0.2">
      <c r="A102" s="69"/>
      <c r="B102" s="43"/>
      <c r="C102" s="43"/>
      <c r="D102" s="43"/>
      <c r="E102" s="62"/>
    </row>
    <row r="103" spans="1:5" x14ac:dyDescent="0.2">
      <c r="A103" s="69"/>
      <c r="B103" s="43"/>
      <c r="C103" s="43"/>
      <c r="D103" s="43"/>
      <c r="E103" s="62"/>
    </row>
    <row r="104" spans="1:5" x14ac:dyDescent="0.2">
      <c r="A104" s="69"/>
      <c r="B104" s="43"/>
      <c r="C104" s="43"/>
      <c r="D104" s="43"/>
      <c r="E104" s="62"/>
    </row>
    <row r="105" spans="1:5" x14ac:dyDescent="0.2">
      <c r="A105" s="69"/>
      <c r="B105" s="43"/>
      <c r="C105" s="43"/>
      <c r="D105" s="43"/>
      <c r="E105" s="62"/>
    </row>
    <row r="106" spans="1:5" x14ac:dyDescent="0.2">
      <c r="A106" s="69"/>
      <c r="B106" s="43"/>
      <c r="C106" s="43"/>
      <c r="D106" s="43"/>
      <c r="E106" s="62"/>
    </row>
    <row r="107" spans="1:5" x14ac:dyDescent="0.2">
      <c r="A107" s="69"/>
      <c r="B107" s="43"/>
      <c r="C107" s="43"/>
      <c r="D107" s="43"/>
      <c r="E107" s="62"/>
    </row>
    <row r="108" spans="1:5" x14ac:dyDescent="0.2">
      <c r="A108" s="69"/>
      <c r="B108" s="43"/>
      <c r="C108" s="43"/>
      <c r="D108" s="43"/>
      <c r="E108" s="62"/>
    </row>
    <row r="109" spans="1:5" x14ac:dyDescent="0.2">
      <c r="A109" s="69"/>
      <c r="B109" s="43"/>
      <c r="C109" s="43"/>
      <c r="D109" s="43"/>
      <c r="E109" s="62"/>
    </row>
    <row r="110" spans="1:5" x14ac:dyDescent="0.2">
      <c r="A110" s="69"/>
      <c r="B110" s="43"/>
      <c r="C110" s="43"/>
      <c r="D110" s="43"/>
      <c r="E110" s="62"/>
    </row>
    <row r="111" spans="1:5" x14ac:dyDescent="0.2">
      <c r="A111" s="69"/>
      <c r="B111" s="43"/>
      <c r="C111" s="43"/>
      <c r="D111" s="43"/>
      <c r="E111" s="62"/>
    </row>
    <row r="112" spans="1:5" x14ac:dyDescent="0.2">
      <c r="A112" s="69"/>
      <c r="B112" s="43"/>
      <c r="C112" s="43"/>
      <c r="D112" s="43"/>
      <c r="E112" s="62"/>
    </row>
    <row r="113" spans="1:5" x14ac:dyDescent="0.2">
      <c r="A113" s="69"/>
      <c r="B113" s="43"/>
      <c r="C113" s="43"/>
      <c r="D113" s="43"/>
      <c r="E113" s="62"/>
    </row>
    <row r="114" spans="1:5" x14ac:dyDescent="0.2">
      <c r="A114" s="69"/>
      <c r="B114" s="43"/>
      <c r="C114" s="43"/>
      <c r="D114" s="43"/>
      <c r="E114" s="62"/>
    </row>
    <row r="115" spans="1:5" x14ac:dyDescent="0.2">
      <c r="A115" s="69"/>
      <c r="B115" s="43"/>
      <c r="C115" s="43"/>
      <c r="D115" s="43"/>
      <c r="E115" s="62"/>
    </row>
    <row r="116" spans="1:5" x14ac:dyDescent="0.2">
      <c r="A116" s="69"/>
      <c r="B116" s="43"/>
      <c r="C116" s="43"/>
      <c r="D116" s="43"/>
      <c r="E116" s="62"/>
    </row>
    <row r="117" spans="1:5" x14ac:dyDescent="0.2">
      <c r="A117" s="69"/>
      <c r="B117" s="43"/>
      <c r="C117" s="43"/>
      <c r="D117" s="43"/>
      <c r="E117" s="62"/>
    </row>
    <row r="118" spans="1:5" x14ac:dyDescent="0.2">
      <c r="A118" s="69"/>
      <c r="B118" s="43"/>
      <c r="C118" s="43"/>
      <c r="D118" s="43"/>
      <c r="E118" s="62"/>
    </row>
    <row r="119" spans="1:5" x14ac:dyDescent="0.2">
      <c r="A119" s="69"/>
      <c r="B119" s="43"/>
      <c r="C119" s="43"/>
      <c r="D119" s="43"/>
      <c r="E119" s="62"/>
    </row>
    <row r="120" spans="1:5" x14ac:dyDescent="0.2">
      <c r="A120" s="69"/>
      <c r="B120" s="43"/>
      <c r="C120" s="43"/>
      <c r="D120" s="43"/>
      <c r="E120" s="62"/>
    </row>
    <row r="121" spans="1:5" x14ac:dyDescent="0.2">
      <c r="A121" s="69"/>
      <c r="B121" s="43"/>
      <c r="C121" s="43"/>
      <c r="D121" s="43"/>
      <c r="E121" s="62"/>
    </row>
    <row r="122" spans="1:5" x14ac:dyDescent="0.2">
      <c r="A122" s="69"/>
      <c r="B122" s="43"/>
      <c r="C122" s="43"/>
      <c r="D122" s="43"/>
      <c r="E122" s="62"/>
    </row>
    <row r="123" spans="1:5" x14ac:dyDescent="0.2">
      <c r="A123" s="69"/>
      <c r="B123" s="43"/>
      <c r="C123" s="43"/>
      <c r="D123" s="43"/>
      <c r="E123" s="62"/>
    </row>
    <row r="124" spans="1:5" x14ac:dyDescent="0.2">
      <c r="A124" s="69"/>
      <c r="B124" s="43"/>
      <c r="C124" s="43"/>
      <c r="D124" s="43"/>
      <c r="E124" s="62"/>
    </row>
    <row r="125" spans="1:5" x14ac:dyDescent="0.2">
      <c r="A125" s="69"/>
      <c r="B125" s="43"/>
      <c r="C125" s="43"/>
      <c r="D125" s="43"/>
      <c r="E125" s="62"/>
    </row>
    <row r="126" spans="1:5" x14ac:dyDescent="0.2">
      <c r="A126" s="69"/>
      <c r="B126" s="43"/>
      <c r="C126" s="43"/>
      <c r="D126" s="43"/>
      <c r="E126" s="62"/>
    </row>
    <row r="127" spans="1:5" x14ac:dyDescent="0.2">
      <c r="A127" s="69"/>
      <c r="B127" s="43"/>
      <c r="C127" s="43"/>
      <c r="D127" s="43"/>
      <c r="E127" s="62"/>
    </row>
    <row r="128" spans="1:5" x14ac:dyDescent="0.2">
      <c r="A128" s="69"/>
      <c r="B128" s="43"/>
      <c r="C128" s="43"/>
      <c r="D128" s="43"/>
      <c r="E128" s="62"/>
    </row>
    <row r="129" spans="1:5" x14ac:dyDescent="0.2">
      <c r="A129" s="69"/>
      <c r="B129" s="43"/>
      <c r="C129" s="43"/>
      <c r="D129" s="43"/>
      <c r="E129" s="62"/>
    </row>
    <row r="130" spans="1:5" x14ac:dyDescent="0.2">
      <c r="A130" s="69"/>
      <c r="B130" s="43"/>
      <c r="C130" s="43"/>
      <c r="D130" s="43"/>
      <c r="E130" s="62"/>
    </row>
    <row r="131" spans="1:5" x14ac:dyDescent="0.2">
      <c r="A131" s="69"/>
      <c r="B131" s="43"/>
      <c r="C131" s="43"/>
      <c r="D131" s="43"/>
      <c r="E131" s="62"/>
    </row>
    <row r="132" spans="1:5" x14ac:dyDescent="0.2">
      <c r="A132" s="69"/>
      <c r="B132" s="43"/>
      <c r="C132" s="43"/>
      <c r="D132" s="43"/>
      <c r="E132" s="62"/>
    </row>
    <row r="133" spans="1:5" x14ac:dyDescent="0.2">
      <c r="A133" s="69"/>
      <c r="B133" s="43"/>
      <c r="C133" s="43"/>
      <c r="D133" s="43"/>
      <c r="E133" s="62"/>
    </row>
    <row r="134" spans="1:5" x14ac:dyDescent="0.2">
      <c r="A134" s="69"/>
      <c r="B134" s="43"/>
      <c r="C134" s="43"/>
      <c r="D134" s="43"/>
      <c r="E134" s="62"/>
    </row>
    <row r="135" spans="1:5" x14ac:dyDescent="0.2">
      <c r="A135" s="69"/>
      <c r="B135" s="43"/>
      <c r="C135" s="43"/>
      <c r="D135" s="43"/>
      <c r="E135" s="62"/>
    </row>
    <row r="136" spans="1:5" x14ac:dyDescent="0.2">
      <c r="A136" s="69"/>
      <c r="B136" s="43"/>
      <c r="C136" s="43"/>
      <c r="D136" s="43"/>
      <c r="E136" s="62"/>
    </row>
    <row r="137" spans="1:5" x14ac:dyDescent="0.2">
      <c r="A137" s="69"/>
      <c r="B137" s="43"/>
      <c r="C137" s="43"/>
      <c r="D137" s="43"/>
      <c r="E137" s="62"/>
    </row>
    <row r="138" spans="1:5" x14ac:dyDescent="0.2">
      <c r="A138" s="69"/>
      <c r="B138" s="43"/>
      <c r="C138" s="43"/>
      <c r="D138" s="43"/>
      <c r="E138" s="62"/>
    </row>
    <row r="139" spans="1:5" x14ac:dyDescent="0.2">
      <c r="A139" s="69"/>
      <c r="B139" s="43"/>
      <c r="C139" s="43"/>
      <c r="D139" s="43"/>
      <c r="E139" s="62"/>
    </row>
    <row r="140" spans="1:5" x14ac:dyDescent="0.2">
      <c r="A140" s="69"/>
      <c r="B140" s="43"/>
      <c r="C140" s="43"/>
      <c r="D140" s="43"/>
      <c r="E140" s="62"/>
    </row>
    <row r="141" spans="1:5" x14ac:dyDescent="0.2">
      <c r="A141" s="69"/>
      <c r="B141" s="43"/>
      <c r="C141" s="43"/>
      <c r="D141" s="43"/>
      <c r="E141" s="62"/>
    </row>
    <row r="142" spans="1:5" x14ac:dyDescent="0.2">
      <c r="A142" s="69"/>
      <c r="B142" s="43"/>
      <c r="C142" s="43"/>
      <c r="D142" s="43"/>
      <c r="E142" s="62"/>
    </row>
    <row r="143" spans="1:5" x14ac:dyDescent="0.2">
      <c r="A143" s="69"/>
      <c r="B143" s="43"/>
      <c r="C143" s="43"/>
      <c r="D143" s="43"/>
      <c r="E143" s="62"/>
    </row>
    <row r="144" spans="1:5" x14ac:dyDescent="0.2">
      <c r="A144" s="69"/>
      <c r="B144" s="43"/>
      <c r="C144" s="43"/>
      <c r="D144" s="43"/>
      <c r="E144" s="62"/>
    </row>
    <row r="145" spans="1:5" x14ac:dyDescent="0.2">
      <c r="A145" s="69"/>
      <c r="B145" s="43"/>
      <c r="C145" s="43"/>
      <c r="D145" s="43"/>
      <c r="E145" s="62"/>
    </row>
    <row r="146" spans="1:5" x14ac:dyDescent="0.2">
      <c r="A146" s="69"/>
      <c r="B146" s="43"/>
      <c r="C146" s="43"/>
      <c r="D146" s="43"/>
      <c r="E146" s="62"/>
    </row>
    <row r="147" spans="1:5" x14ac:dyDescent="0.2">
      <c r="A147" s="69"/>
      <c r="B147" s="43"/>
      <c r="C147" s="43"/>
      <c r="D147" s="43"/>
      <c r="E147" s="62"/>
    </row>
    <row r="148" spans="1:5" x14ac:dyDescent="0.2">
      <c r="A148" s="69"/>
      <c r="B148" s="43"/>
      <c r="C148" s="43"/>
      <c r="D148" s="43"/>
      <c r="E148" s="62"/>
    </row>
    <row r="149" spans="1:5" x14ac:dyDescent="0.2">
      <c r="A149" s="69"/>
      <c r="B149" s="43"/>
      <c r="C149" s="43"/>
      <c r="D149" s="43"/>
      <c r="E149" s="62"/>
    </row>
    <row r="150" spans="1:5" x14ac:dyDescent="0.2">
      <c r="A150" s="69"/>
      <c r="B150" s="43"/>
      <c r="C150" s="43"/>
      <c r="D150" s="43"/>
      <c r="E150" s="62"/>
    </row>
    <row r="151" spans="1:5" x14ac:dyDescent="0.2">
      <c r="A151" s="69"/>
      <c r="B151" s="43"/>
      <c r="C151" s="43"/>
      <c r="D151" s="43"/>
      <c r="E151" s="62"/>
    </row>
    <row r="152" spans="1:5" x14ac:dyDescent="0.2">
      <c r="A152" s="69"/>
      <c r="B152" s="43"/>
      <c r="C152" s="43"/>
      <c r="D152" s="43"/>
      <c r="E152" s="62"/>
    </row>
    <row r="153" spans="1:5" x14ac:dyDescent="0.2">
      <c r="A153" s="69"/>
      <c r="B153" s="43"/>
      <c r="C153" s="43"/>
      <c r="D153" s="43"/>
      <c r="E153" s="62"/>
    </row>
    <row r="154" spans="1:5" x14ac:dyDescent="0.2">
      <c r="A154" s="69"/>
      <c r="B154" s="43"/>
      <c r="C154" s="43"/>
      <c r="D154" s="43"/>
      <c r="E154" s="62"/>
    </row>
    <row r="155" spans="1:5" x14ac:dyDescent="0.2">
      <c r="A155" s="69"/>
      <c r="B155" s="43"/>
      <c r="C155" s="43"/>
      <c r="D155" s="43"/>
      <c r="E155" s="62"/>
    </row>
    <row r="156" spans="1:5" x14ac:dyDescent="0.2">
      <c r="A156" s="69"/>
      <c r="B156" s="43"/>
      <c r="C156" s="43"/>
      <c r="D156" s="43"/>
      <c r="E156" s="62"/>
    </row>
    <row r="157" spans="1:5" x14ac:dyDescent="0.2">
      <c r="A157" s="69"/>
      <c r="B157" s="43"/>
      <c r="C157" s="43"/>
      <c r="D157" s="43"/>
      <c r="E157" s="62"/>
    </row>
    <row r="158" spans="1:5" x14ac:dyDescent="0.2">
      <c r="A158" s="69"/>
      <c r="B158" s="43"/>
      <c r="C158" s="43"/>
      <c r="D158" s="43"/>
      <c r="E158" s="62"/>
    </row>
    <row r="159" spans="1:5" x14ac:dyDescent="0.2">
      <c r="A159" s="69"/>
      <c r="B159" s="43"/>
      <c r="C159" s="43"/>
      <c r="D159" s="43"/>
      <c r="E159" s="62"/>
    </row>
    <row r="160" spans="1:5" x14ac:dyDescent="0.2">
      <c r="A160" s="69"/>
      <c r="B160" s="43"/>
      <c r="C160" s="43"/>
      <c r="D160" s="43"/>
      <c r="E160" s="62"/>
    </row>
    <row r="161" spans="1:5" x14ac:dyDescent="0.2">
      <c r="A161" s="69"/>
      <c r="B161" s="43"/>
      <c r="C161" s="43"/>
      <c r="D161" s="43"/>
      <c r="E161" s="62"/>
    </row>
    <row r="162" spans="1:5" x14ac:dyDescent="0.2">
      <c r="A162" s="69"/>
      <c r="B162" s="43"/>
      <c r="C162" s="43"/>
      <c r="D162" s="43"/>
      <c r="E162" s="62"/>
    </row>
    <row r="163" spans="1:5" x14ac:dyDescent="0.2">
      <c r="A163" s="69"/>
      <c r="B163" s="43"/>
      <c r="C163" s="43"/>
      <c r="D163" s="43"/>
      <c r="E163" s="62"/>
    </row>
    <row r="164" spans="1:5" x14ac:dyDescent="0.2">
      <c r="A164" s="69"/>
      <c r="B164" s="43"/>
      <c r="C164" s="43"/>
      <c r="D164" s="43"/>
      <c r="E164" s="62"/>
    </row>
    <row r="165" spans="1:5" x14ac:dyDescent="0.2">
      <c r="A165" s="69"/>
      <c r="B165" s="43"/>
      <c r="C165" s="43"/>
      <c r="D165" s="43"/>
      <c r="E165" s="62"/>
    </row>
    <row r="166" spans="1:5" x14ac:dyDescent="0.2">
      <c r="A166" s="69"/>
      <c r="B166" s="43"/>
      <c r="C166" s="43"/>
      <c r="D166" s="43"/>
      <c r="E166" s="62"/>
    </row>
    <row r="167" spans="1:5" x14ac:dyDescent="0.2">
      <c r="A167" s="69"/>
      <c r="B167" s="43"/>
      <c r="C167" s="43"/>
      <c r="D167" s="43"/>
      <c r="E167" s="62"/>
    </row>
    <row r="168" spans="1:5" x14ac:dyDescent="0.2">
      <c r="A168" s="69"/>
      <c r="B168" s="43"/>
      <c r="C168" s="43"/>
      <c r="D168" s="43"/>
      <c r="E168" s="62"/>
    </row>
    <row r="169" spans="1:5" x14ac:dyDescent="0.2">
      <c r="A169" s="69"/>
      <c r="B169" s="43"/>
      <c r="C169" s="43"/>
      <c r="D169" s="43"/>
      <c r="E169" s="62"/>
    </row>
    <row r="170" spans="1:5" x14ac:dyDescent="0.2">
      <c r="A170" s="69"/>
      <c r="B170" s="43"/>
      <c r="C170" s="43"/>
      <c r="D170" s="43"/>
      <c r="E170" s="62"/>
    </row>
    <row r="171" spans="1:5" x14ac:dyDescent="0.2">
      <c r="A171" s="69"/>
      <c r="B171" s="43"/>
      <c r="C171" s="43"/>
      <c r="D171" s="43"/>
      <c r="E171" s="62"/>
    </row>
    <row r="172" spans="1:5" x14ac:dyDescent="0.2">
      <c r="A172" s="69"/>
      <c r="B172" s="43"/>
      <c r="C172" s="43"/>
      <c r="D172" s="43"/>
      <c r="E172" s="62"/>
    </row>
    <row r="173" spans="1:5" x14ac:dyDescent="0.2">
      <c r="A173" s="69"/>
      <c r="B173" s="43"/>
      <c r="C173" s="43"/>
      <c r="D173" s="43"/>
      <c r="E173" s="62"/>
    </row>
    <row r="174" spans="1:5" x14ac:dyDescent="0.2">
      <c r="A174" s="69"/>
      <c r="B174" s="43"/>
      <c r="C174" s="43"/>
      <c r="D174" s="43"/>
      <c r="E174" s="62"/>
    </row>
    <row r="175" spans="1:5" x14ac:dyDescent="0.2">
      <c r="A175" s="69"/>
      <c r="B175" s="43"/>
      <c r="C175" s="43"/>
      <c r="D175" s="43"/>
      <c r="E175" s="62"/>
    </row>
    <row r="176" spans="1:5" x14ac:dyDescent="0.2">
      <c r="A176" s="69"/>
      <c r="B176" s="43"/>
      <c r="C176" s="43"/>
      <c r="D176" s="43"/>
      <c r="E176" s="62"/>
    </row>
    <row r="177" spans="1:5" x14ac:dyDescent="0.2">
      <c r="A177" s="69"/>
      <c r="B177" s="43"/>
      <c r="C177" s="43"/>
      <c r="D177" s="43"/>
      <c r="E177" s="62"/>
    </row>
    <row r="178" spans="1:5" x14ac:dyDescent="0.2">
      <c r="A178" s="69"/>
      <c r="B178" s="43"/>
      <c r="C178" s="43"/>
      <c r="D178" s="43"/>
      <c r="E178" s="62"/>
    </row>
    <row r="179" spans="1:5" x14ac:dyDescent="0.2">
      <c r="A179" s="69"/>
      <c r="B179" s="43"/>
      <c r="C179" s="43"/>
      <c r="D179" s="43"/>
      <c r="E179" s="62"/>
    </row>
    <row r="180" spans="1:5" x14ac:dyDescent="0.2">
      <c r="A180" s="69"/>
      <c r="B180" s="43"/>
      <c r="C180" s="43"/>
      <c r="D180" s="43"/>
      <c r="E180" s="62"/>
    </row>
    <row r="181" spans="1:5" x14ac:dyDescent="0.2">
      <c r="A181" s="69"/>
      <c r="B181" s="43"/>
      <c r="C181" s="43"/>
      <c r="D181" s="43"/>
      <c r="E181" s="62"/>
    </row>
    <row r="182" spans="1:5" x14ac:dyDescent="0.2">
      <c r="A182" s="69"/>
      <c r="B182" s="43"/>
      <c r="C182" s="43"/>
      <c r="D182" s="43"/>
      <c r="E182" s="62"/>
    </row>
    <row r="183" spans="1:5" x14ac:dyDescent="0.2">
      <c r="A183" s="69"/>
      <c r="B183" s="43"/>
      <c r="C183" s="43"/>
      <c r="D183" s="43"/>
      <c r="E183" s="62"/>
    </row>
    <row r="184" spans="1:5" x14ac:dyDescent="0.2">
      <c r="A184" s="69"/>
      <c r="B184" s="43"/>
      <c r="C184" s="43"/>
      <c r="D184" s="43"/>
      <c r="E184" s="62"/>
    </row>
    <row r="185" spans="1:5" x14ac:dyDescent="0.2">
      <c r="A185" s="69"/>
      <c r="B185" s="43"/>
      <c r="C185" s="43"/>
      <c r="D185" s="43"/>
      <c r="E185" s="62"/>
    </row>
    <row r="186" spans="1:5" x14ac:dyDescent="0.2">
      <c r="A186" s="69"/>
      <c r="B186" s="43"/>
      <c r="C186" s="43"/>
      <c r="D186" s="43"/>
      <c r="E186" s="62"/>
    </row>
    <row r="187" spans="1:5" x14ac:dyDescent="0.2">
      <c r="A187" s="69"/>
      <c r="B187" s="43"/>
      <c r="C187" s="43"/>
      <c r="D187" s="43"/>
      <c r="E187" s="62"/>
    </row>
    <row r="188" spans="1:5" x14ac:dyDescent="0.2">
      <c r="A188" s="69"/>
      <c r="B188" s="43"/>
      <c r="C188" s="43"/>
      <c r="D188" s="43"/>
      <c r="E188" s="62"/>
    </row>
    <row r="189" spans="1:5" x14ac:dyDescent="0.2">
      <c r="A189" s="69"/>
      <c r="B189" s="43"/>
      <c r="C189" s="43"/>
      <c r="D189" s="43"/>
      <c r="E189" s="62"/>
    </row>
    <row r="190" spans="1:5" x14ac:dyDescent="0.2">
      <c r="A190" s="69"/>
      <c r="B190" s="43"/>
      <c r="C190" s="43"/>
      <c r="D190" s="43"/>
      <c r="E190" s="62"/>
    </row>
    <row r="191" spans="1:5" x14ac:dyDescent="0.2">
      <c r="A191" s="69"/>
      <c r="B191" s="43"/>
      <c r="C191" s="43"/>
      <c r="D191" s="43"/>
      <c r="E191" s="62"/>
    </row>
    <row r="192" spans="1:5" x14ac:dyDescent="0.2">
      <c r="A192" s="69"/>
      <c r="B192" s="43"/>
      <c r="C192" s="43"/>
      <c r="D192" s="43"/>
      <c r="E192" s="62"/>
    </row>
    <row r="193" spans="1:5" x14ac:dyDescent="0.2">
      <c r="A193" s="69"/>
      <c r="B193" s="43"/>
      <c r="C193" s="43"/>
      <c r="D193" s="43"/>
      <c r="E193" s="62"/>
    </row>
    <row r="194" spans="1:5" x14ac:dyDescent="0.2">
      <c r="A194" s="69"/>
      <c r="B194" s="43"/>
      <c r="C194" s="43"/>
      <c r="D194" s="43"/>
      <c r="E194" s="62"/>
    </row>
    <row r="195" spans="1:5" x14ac:dyDescent="0.2">
      <c r="A195" s="69"/>
      <c r="B195" s="43"/>
      <c r="C195" s="43"/>
      <c r="D195" s="43"/>
      <c r="E195" s="62"/>
    </row>
    <row r="196" spans="1:5" x14ac:dyDescent="0.2">
      <c r="A196" s="69"/>
      <c r="B196" s="43"/>
      <c r="C196" s="43"/>
      <c r="D196" s="43"/>
      <c r="E196" s="62"/>
    </row>
    <row r="197" spans="1:5" x14ac:dyDescent="0.2">
      <c r="A197" s="69"/>
      <c r="B197" s="43"/>
      <c r="C197" s="43"/>
      <c r="D197" s="43"/>
      <c r="E197" s="62"/>
    </row>
    <row r="198" spans="1:5" x14ac:dyDescent="0.2">
      <c r="A198" s="69"/>
      <c r="B198" s="43"/>
      <c r="C198" s="43"/>
      <c r="D198" s="43"/>
      <c r="E198" s="62"/>
    </row>
    <row r="199" spans="1:5" x14ac:dyDescent="0.2">
      <c r="A199" s="69"/>
      <c r="B199" s="43"/>
      <c r="C199" s="43"/>
      <c r="D199" s="43"/>
      <c r="E199" s="62"/>
    </row>
    <row r="200" spans="1:5" x14ac:dyDescent="0.2">
      <c r="A200" s="69"/>
      <c r="B200" s="43"/>
      <c r="C200" s="43"/>
      <c r="D200" s="43"/>
      <c r="E200" s="62"/>
    </row>
  </sheetData>
  <dataValidations count="1">
    <dataValidation type="list" allowBlank="1" showInputMessage="1" showErrorMessage="1" sqref="D5:D200" xr:uid="{392E127E-07A4-EB47-A9F4-ABD824B66E91}">
      <formula1>"Opérationnel,Investissement"</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E344970-E8A7-464A-B97D-C6B3BD8DBFC3}">
          <x14:formula1>
            <xm:f>Empoissonnement!$A$4:$A$22</xm:f>
          </x14:formula1>
          <xm:sqref>B5:B200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24"/>
  <sheetViews>
    <sheetView zoomScaleNormal="100" workbookViewId="0">
      <pane xSplit="2" ySplit="3" topLeftCell="C4" activePane="bottomRight" state="frozen"/>
      <selection pane="topRight" activeCell="C1" sqref="C1"/>
      <selection pane="bottomLeft" activeCell="A4" sqref="A4"/>
      <selection pane="bottomRight" activeCell="E4" sqref="E4:E6"/>
    </sheetView>
  </sheetViews>
  <sheetFormatPr baseColWidth="10" defaultColWidth="8.6640625" defaultRowHeight="15" x14ac:dyDescent="0.2"/>
  <cols>
    <col min="1" max="1" width="8" customWidth="1"/>
    <col min="2" max="2" width="10" customWidth="1"/>
    <col min="3" max="23" width="10.5" customWidth="1"/>
  </cols>
  <sheetData>
    <row r="1" spans="1:23" ht="18" x14ac:dyDescent="0.2">
      <c r="A1" s="2" t="s">
        <v>103</v>
      </c>
    </row>
    <row r="2" spans="1:23" x14ac:dyDescent="0.2">
      <c r="A2" s="3" t="s">
        <v>104</v>
      </c>
    </row>
    <row r="3" spans="1:23" x14ac:dyDescent="0.2">
      <c r="A3" s="1" t="s">
        <v>59</v>
      </c>
      <c r="B3" s="1" t="s">
        <v>92</v>
      </c>
      <c r="C3" s="25">
        <v>46235</v>
      </c>
      <c r="D3" s="25">
        <v>46266</v>
      </c>
      <c r="E3" s="25">
        <v>46296</v>
      </c>
      <c r="F3" s="25">
        <v>46327</v>
      </c>
      <c r="G3" s="25">
        <v>46357</v>
      </c>
      <c r="H3" s="25">
        <v>46388</v>
      </c>
      <c r="I3" s="25">
        <v>46419</v>
      </c>
      <c r="J3" s="25">
        <v>46447</v>
      </c>
      <c r="K3" s="25">
        <v>46478</v>
      </c>
      <c r="L3" s="25">
        <v>46508</v>
      </c>
      <c r="M3" s="25">
        <v>46539</v>
      </c>
      <c r="N3" s="25">
        <v>46569</v>
      </c>
      <c r="O3" s="25">
        <v>46600</v>
      </c>
      <c r="P3" s="25">
        <v>46631</v>
      </c>
      <c r="Q3" s="25">
        <v>46661</v>
      </c>
      <c r="R3" s="25">
        <v>46692</v>
      </c>
      <c r="S3" s="25">
        <v>46722</v>
      </c>
      <c r="T3" s="25">
        <v>46753</v>
      </c>
      <c r="U3" s="25">
        <v>46784</v>
      </c>
      <c r="V3" s="25">
        <v>46813</v>
      </c>
      <c r="W3" s="25">
        <v>46844</v>
      </c>
    </row>
    <row r="4" spans="1:23" x14ac:dyDescent="0.2">
      <c r="A4" s="21" t="str">
        <f>Empoissonnement!A4</f>
        <v>V1</v>
      </c>
      <c r="B4" s="22">
        <f>Empoissonnement!C4</f>
        <v>4</v>
      </c>
      <c r="C4" s="26" t="str">
        <f>IF(OR((YEAR(C$3)-YEAR(Empoissonnement!$B4))*12+MONTH(C$3)-MONTH(Empoissonnement!$B4)&lt;0,(YEAR(C$3)-YEAR(Empoissonnement!$B4))*12+MONTH(C$3)-MONTH(Empoissonnement!$B4)&gt;2),"",CHOOSE((YEAR(C$3)-YEAR(Empoissonnement!$B4))*12+MONTH(C$3)-MONTH(Empoissonnement!$B4)+1,"M1","M2-ventes","M3-ventes"))</f>
        <v>M1</v>
      </c>
      <c r="D4" s="26" t="str">
        <f>IF(OR((YEAR(D$3)-YEAR(Empoissonnement!$B4))*12+MONTH(D$3)-MONTH(Empoissonnement!$B4)&lt;0,(YEAR(D$3)-YEAR(Empoissonnement!$B4))*12+MONTH(D$3)-MONTH(Empoissonnement!$B4)&gt;2),"",CHOOSE((YEAR(D$3)-YEAR(Empoissonnement!$B4))*12+MONTH(D$3)-MONTH(Empoissonnement!$B4)+1,"M1","M2-ventes","M3-ventes"))</f>
        <v>M2-ventes</v>
      </c>
      <c r="E4" s="26" t="str">
        <f>IF(OR((YEAR(E$3)-YEAR(Empoissonnement!$B4))*12+MONTH(E$3)-MONTH(Empoissonnement!$B4)&lt;0,(YEAR(E$3)-YEAR(Empoissonnement!$B4))*12+MONTH(E$3)-MONTH(Empoissonnement!$B4)&gt;2),"",CHOOSE((YEAR(E$3)-YEAR(Empoissonnement!$B4))*12+MONTH(E$3)-MONTH(Empoissonnement!$B4)+1,"M1","M2-ventes","M3-ventes"))</f>
        <v>M3-ventes</v>
      </c>
      <c r="F4" s="26" t="str">
        <f>IF(OR((YEAR(F$3)-YEAR(Empoissonnement!$B4))*12+MONTH(F$3)-MONTH(Empoissonnement!$B4)&lt;0,(YEAR(F$3)-YEAR(Empoissonnement!$B4))*12+MONTH(F$3)-MONTH(Empoissonnement!$B4)&gt;2),"",CHOOSE((YEAR(F$3)-YEAR(Empoissonnement!$B4))*12+MONTH(F$3)-MONTH(Empoissonnement!$B4)+1,"M1","M2-ventes","M3-ventes"))</f>
        <v/>
      </c>
      <c r="G4" s="26" t="str">
        <f>IF(OR((YEAR(G$3)-YEAR(Empoissonnement!$B4))*12+MONTH(G$3)-MONTH(Empoissonnement!$B4)&lt;0,(YEAR(G$3)-YEAR(Empoissonnement!$B4))*12+MONTH(G$3)-MONTH(Empoissonnement!$B4)&gt;2),"",CHOOSE((YEAR(G$3)-YEAR(Empoissonnement!$B4))*12+MONTH(G$3)-MONTH(Empoissonnement!$B4)+1,"M1","M2-ventes","M3-ventes"))</f>
        <v/>
      </c>
      <c r="H4" s="26" t="str">
        <f>IF(OR((YEAR(H$3)-YEAR(Empoissonnement!$B4))*12+MONTH(H$3)-MONTH(Empoissonnement!$B4)&lt;0,(YEAR(H$3)-YEAR(Empoissonnement!$B4))*12+MONTH(H$3)-MONTH(Empoissonnement!$B4)&gt;2),"",CHOOSE((YEAR(H$3)-YEAR(Empoissonnement!$B4))*12+MONTH(H$3)-MONTH(Empoissonnement!$B4)+1,"M1","M2-ventes","M3-ventes"))</f>
        <v/>
      </c>
      <c r="I4" s="26" t="str">
        <f>IF(OR((YEAR(I$3)-YEAR(Empoissonnement!$B4))*12+MONTH(I$3)-MONTH(Empoissonnement!$B4)&lt;0,(YEAR(I$3)-YEAR(Empoissonnement!$B4))*12+MONTH(I$3)-MONTH(Empoissonnement!$B4)&gt;2),"",CHOOSE((YEAR(I$3)-YEAR(Empoissonnement!$B4))*12+MONTH(I$3)-MONTH(Empoissonnement!$B4)+1,"M1","M2-ventes","M3-ventes"))</f>
        <v/>
      </c>
      <c r="J4" s="26" t="str">
        <f>IF(OR((YEAR(J$3)-YEAR(Empoissonnement!$B4))*12+MONTH(J$3)-MONTH(Empoissonnement!$B4)&lt;0,(YEAR(J$3)-YEAR(Empoissonnement!$B4))*12+MONTH(J$3)-MONTH(Empoissonnement!$B4)&gt;2),"",CHOOSE((YEAR(J$3)-YEAR(Empoissonnement!$B4))*12+MONTH(J$3)-MONTH(Empoissonnement!$B4)+1,"M1","M2-ventes","M3-ventes"))</f>
        <v/>
      </c>
      <c r="K4" s="26" t="str">
        <f>IF(OR((YEAR(K$3)-YEAR(Empoissonnement!$B4))*12+MONTH(K$3)-MONTH(Empoissonnement!$B4)&lt;0,(YEAR(K$3)-YEAR(Empoissonnement!$B4))*12+MONTH(K$3)-MONTH(Empoissonnement!$B4)&gt;2),"",CHOOSE((YEAR(K$3)-YEAR(Empoissonnement!$B4))*12+MONTH(K$3)-MONTH(Empoissonnement!$B4)+1,"M1","M2-ventes","M3-ventes"))</f>
        <v/>
      </c>
      <c r="L4" s="26" t="str">
        <f>IF(OR((YEAR(L$3)-YEAR(Empoissonnement!$B4))*12+MONTH(L$3)-MONTH(Empoissonnement!$B4)&lt;0,(YEAR(L$3)-YEAR(Empoissonnement!$B4))*12+MONTH(L$3)-MONTH(Empoissonnement!$B4)&gt;2),"",CHOOSE((YEAR(L$3)-YEAR(Empoissonnement!$B4))*12+MONTH(L$3)-MONTH(Empoissonnement!$B4)+1,"M1","M2-ventes","M3-ventes"))</f>
        <v/>
      </c>
      <c r="M4" s="26" t="str">
        <f>IF(OR((YEAR(M$3)-YEAR(Empoissonnement!$B4))*12+MONTH(M$3)-MONTH(Empoissonnement!$B4)&lt;0,(YEAR(M$3)-YEAR(Empoissonnement!$B4))*12+MONTH(M$3)-MONTH(Empoissonnement!$B4)&gt;2),"",CHOOSE((YEAR(M$3)-YEAR(Empoissonnement!$B4))*12+MONTH(M$3)-MONTH(Empoissonnement!$B4)+1,"M1","M2-ventes","M3-ventes"))</f>
        <v/>
      </c>
      <c r="N4" s="26" t="str">
        <f>IF(OR((YEAR(N$3)-YEAR(Empoissonnement!$B4))*12+MONTH(N$3)-MONTH(Empoissonnement!$B4)&lt;0,(YEAR(N$3)-YEAR(Empoissonnement!$B4))*12+MONTH(N$3)-MONTH(Empoissonnement!$B4)&gt;2),"",CHOOSE((YEAR(N$3)-YEAR(Empoissonnement!$B4))*12+MONTH(N$3)-MONTH(Empoissonnement!$B4)+1,"M1","M2-ventes","M3-ventes"))</f>
        <v/>
      </c>
      <c r="O4" s="26" t="str">
        <f>IF(OR((YEAR(O$3)-YEAR(Empoissonnement!$B4))*12+MONTH(O$3)-MONTH(Empoissonnement!$B4)&lt;0,(YEAR(O$3)-YEAR(Empoissonnement!$B4))*12+MONTH(O$3)-MONTH(Empoissonnement!$B4)&gt;2),"",CHOOSE((YEAR(O$3)-YEAR(Empoissonnement!$B4))*12+MONTH(O$3)-MONTH(Empoissonnement!$B4)+1,"M1","M2-ventes","M3-ventes"))</f>
        <v/>
      </c>
      <c r="P4" s="26" t="str">
        <f>IF(OR((YEAR(P$3)-YEAR(Empoissonnement!$B4))*12+MONTH(P$3)-MONTH(Empoissonnement!$B4)&lt;0,(YEAR(P$3)-YEAR(Empoissonnement!$B4))*12+MONTH(P$3)-MONTH(Empoissonnement!$B4)&gt;2),"",CHOOSE((YEAR(P$3)-YEAR(Empoissonnement!$B4))*12+MONTH(P$3)-MONTH(Empoissonnement!$B4)+1,"M1","M2-ventes","M3-ventes"))</f>
        <v/>
      </c>
      <c r="Q4" s="26" t="str">
        <f>IF(OR((YEAR(Q$3)-YEAR(Empoissonnement!$B4))*12+MONTH(Q$3)-MONTH(Empoissonnement!$B4)&lt;0,(YEAR(Q$3)-YEAR(Empoissonnement!$B4))*12+MONTH(Q$3)-MONTH(Empoissonnement!$B4)&gt;2),"",CHOOSE((YEAR(Q$3)-YEAR(Empoissonnement!$B4))*12+MONTH(Q$3)-MONTH(Empoissonnement!$B4)+1,"M1","M2-ventes","M3-ventes"))</f>
        <v/>
      </c>
      <c r="R4" s="26" t="str">
        <f>IF(OR((YEAR(R$3)-YEAR(Empoissonnement!$B4))*12+MONTH(R$3)-MONTH(Empoissonnement!$B4)&lt;0,(YEAR(R$3)-YEAR(Empoissonnement!$B4))*12+MONTH(R$3)-MONTH(Empoissonnement!$B4)&gt;2),"",CHOOSE((YEAR(R$3)-YEAR(Empoissonnement!$B4))*12+MONTH(R$3)-MONTH(Empoissonnement!$B4)+1,"M1","M2-ventes","M3-ventes"))</f>
        <v/>
      </c>
      <c r="S4" s="26" t="str">
        <f>IF(OR((YEAR(S$3)-YEAR(Empoissonnement!$B4))*12+MONTH(S$3)-MONTH(Empoissonnement!$B4)&lt;0,(YEAR(S$3)-YEAR(Empoissonnement!$B4))*12+MONTH(S$3)-MONTH(Empoissonnement!$B4)&gt;2),"",CHOOSE((YEAR(S$3)-YEAR(Empoissonnement!$B4))*12+MONTH(S$3)-MONTH(Empoissonnement!$B4)+1,"M1","M2-ventes","M3-ventes"))</f>
        <v/>
      </c>
      <c r="T4" s="26" t="str">
        <f>IF(OR((YEAR(T$3)-YEAR(Empoissonnement!$B4))*12+MONTH(T$3)-MONTH(Empoissonnement!$B4)&lt;0,(YEAR(T$3)-YEAR(Empoissonnement!$B4))*12+MONTH(T$3)-MONTH(Empoissonnement!$B4)&gt;2),"",CHOOSE((YEAR(T$3)-YEAR(Empoissonnement!$B4))*12+MONTH(T$3)-MONTH(Empoissonnement!$B4)+1,"M1","M2-ventes","M3-ventes"))</f>
        <v/>
      </c>
      <c r="U4" s="26" t="str">
        <f>IF(OR((YEAR(U$3)-YEAR(Empoissonnement!$B4))*12+MONTH(U$3)-MONTH(Empoissonnement!$B4)&lt;0,(YEAR(U$3)-YEAR(Empoissonnement!$B4))*12+MONTH(U$3)-MONTH(Empoissonnement!$B4)&gt;2),"",CHOOSE((YEAR(U$3)-YEAR(Empoissonnement!$B4))*12+MONTH(U$3)-MONTH(Empoissonnement!$B4)+1,"M1","M2-ventes","M3-ventes"))</f>
        <v/>
      </c>
      <c r="V4" s="26" t="str">
        <f>IF(OR((YEAR(V$3)-YEAR(Empoissonnement!$B4))*12+MONTH(V$3)-MONTH(Empoissonnement!$B4)&lt;0,(YEAR(V$3)-YEAR(Empoissonnement!$B4))*12+MONTH(V$3)-MONTH(Empoissonnement!$B4)&gt;2),"",CHOOSE((YEAR(V$3)-YEAR(Empoissonnement!$B4))*12+MONTH(V$3)-MONTH(Empoissonnement!$B4)+1,"M1","M2-ventes","M3-ventes"))</f>
        <v/>
      </c>
      <c r="W4" s="26" t="str">
        <f>IF(OR((YEAR(W$3)-YEAR(Empoissonnement!$B4))*12+MONTH(W$3)-MONTH(Empoissonnement!$B4)&lt;0,(YEAR(W$3)-YEAR(Empoissonnement!$B4))*12+MONTH(W$3)-MONTH(Empoissonnement!$B4)&gt;2),"",CHOOSE((YEAR(W$3)-YEAR(Empoissonnement!$B4))*12+MONTH(W$3)-MONTH(Empoissonnement!$B4)+1,"M1","M2-ventes","M3-ventes"))</f>
        <v/>
      </c>
    </row>
    <row r="5" spans="1:23" x14ac:dyDescent="0.2">
      <c r="A5" s="21" t="str">
        <f>Empoissonnement!A5</f>
        <v>V2</v>
      </c>
      <c r="B5" s="22">
        <f>Empoissonnement!C5</f>
        <v>4</v>
      </c>
      <c r="C5" s="26" t="str">
        <f>IF(OR((YEAR(C$3)-YEAR(Empoissonnement!$B5))*12+MONTH(C$3)-MONTH(Empoissonnement!$B5)&lt;0,(YEAR(C$3)-YEAR(Empoissonnement!$B5))*12+MONTH(C$3)-MONTH(Empoissonnement!$B5)&gt;2),"",CHOOSE((YEAR(C$3)-YEAR(Empoissonnement!$B5))*12+MONTH(C$3)-MONTH(Empoissonnement!$B5)+1,"M1","M2-ventes","M3-ventes"))</f>
        <v/>
      </c>
      <c r="D5" s="26" t="str">
        <f>IF(OR((YEAR(D$3)-YEAR(Empoissonnement!$B5))*12+MONTH(D$3)-MONTH(Empoissonnement!$B5)&lt;0,(YEAR(D$3)-YEAR(Empoissonnement!$B5))*12+MONTH(D$3)-MONTH(Empoissonnement!$B5)&gt;2),"",CHOOSE((YEAR(D$3)-YEAR(Empoissonnement!$B5))*12+MONTH(D$3)-MONTH(Empoissonnement!$B5)+1,"M1","M2-ventes","M3-ventes"))</f>
        <v>M1</v>
      </c>
      <c r="E5" s="26" t="str">
        <f>IF(OR((YEAR(E$3)-YEAR(Empoissonnement!$B5))*12+MONTH(E$3)-MONTH(Empoissonnement!$B5)&lt;0,(YEAR(E$3)-YEAR(Empoissonnement!$B5))*12+MONTH(E$3)-MONTH(Empoissonnement!$B5)&gt;2),"",CHOOSE((YEAR(E$3)-YEAR(Empoissonnement!$B5))*12+MONTH(E$3)-MONTH(Empoissonnement!$B5)+1,"M1","M2-ventes","M3-ventes"))</f>
        <v>M2-ventes</v>
      </c>
      <c r="F5" s="26" t="str">
        <f>IF(OR((YEAR(F$3)-YEAR(Empoissonnement!$B5))*12+MONTH(F$3)-MONTH(Empoissonnement!$B5)&lt;0,(YEAR(F$3)-YEAR(Empoissonnement!$B5))*12+MONTH(F$3)-MONTH(Empoissonnement!$B5)&gt;2),"",CHOOSE((YEAR(F$3)-YEAR(Empoissonnement!$B5))*12+MONTH(F$3)-MONTH(Empoissonnement!$B5)+1,"M1","M2-ventes","M3-ventes"))</f>
        <v>M3-ventes</v>
      </c>
      <c r="G5" s="26" t="str">
        <f>IF(OR((YEAR(G$3)-YEAR(Empoissonnement!$B5))*12+MONTH(G$3)-MONTH(Empoissonnement!$B5)&lt;0,(YEAR(G$3)-YEAR(Empoissonnement!$B5))*12+MONTH(G$3)-MONTH(Empoissonnement!$B5)&gt;2),"",CHOOSE((YEAR(G$3)-YEAR(Empoissonnement!$B5))*12+MONTH(G$3)-MONTH(Empoissonnement!$B5)+1,"M1","M2-ventes","M3-ventes"))</f>
        <v/>
      </c>
      <c r="H5" s="26" t="str">
        <f>IF(OR((YEAR(H$3)-YEAR(Empoissonnement!$B5))*12+MONTH(H$3)-MONTH(Empoissonnement!$B5)&lt;0,(YEAR(H$3)-YEAR(Empoissonnement!$B5))*12+MONTH(H$3)-MONTH(Empoissonnement!$B5)&gt;2),"",CHOOSE((YEAR(H$3)-YEAR(Empoissonnement!$B5))*12+MONTH(H$3)-MONTH(Empoissonnement!$B5)+1,"M1","M2-ventes","M3-ventes"))</f>
        <v/>
      </c>
      <c r="I5" s="26" t="str">
        <f>IF(OR((YEAR(I$3)-YEAR(Empoissonnement!$B5))*12+MONTH(I$3)-MONTH(Empoissonnement!$B5)&lt;0,(YEAR(I$3)-YEAR(Empoissonnement!$B5))*12+MONTH(I$3)-MONTH(Empoissonnement!$B5)&gt;2),"",CHOOSE((YEAR(I$3)-YEAR(Empoissonnement!$B5))*12+MONTH(I$3)-MONTH(Empoissonnement!$B5)+1,"M1","M2-ventes","M3-ventes"))</f>
        <v/>
      </c>
      <c r="J5" s="26" t="str">
        <f>IF(OR((YEAR(J$3)-YEAR(Empoissonnement!$B5))*12+MONTH(J$3)-MONTH(Empoissonnement!$B5)&lt;0,(YEAR(J$3)-YEAR(Empoissonnement!$B5))*12+MONTH(J$3)-MONTH(Empoissonnement!$B5)&gt;2),"",CHOOSE((YEAR(J$3)-YEAR(Empoissonnement!$B5))*12+MONTH(J$3)-MONTH(Empoissonnement!$B5)+1,"M1","M2-ventes","M3-ventes"))</f>
        <v/>
      </c>
      <c r="K5" s="26" t="str">
        <f>IF(OR((YEAR(K$3)-YEAR(Empoissonnement!$B5))*12+MONTH(K$3)-MONTH(Empoissonnement!$B5)&lt;0,(YEAR(K$3)-YEAR(Empoissonnement!$B5))*12+MONTH(K$3)-MONTH(Empoissonnement!$B5)&gt;2),"",CHOOSE((YEAR(K$3)-YEAR(Empoissonnement!$B5))*12+MONTH(K$3)-MONTH(Empoissonnement!$B5)+1,"M1","M2-ventes","M3-ventes"))</f>
        <v/>
      </c>
      <c r="L5" s="26" t="str">
        <f>IF(OR((YEAR(L$3)-YEAR(Empoissonnement!$B5))*12+MONTH(L$3)-MONTH(Empoissonnement!$B5)&lt;0,(YEAR(L$3)-YEAR(Empoissonnement!$B5))*12+MONTH(L$3)-MONTH(Empoissonnement!$B5)&gt;2),"",CHOOSE((YEAR(L$3)-YEAR(Empoissonnement!$B5))*12+MONTH(L$3)-MONTH(Empoissonnement!$B5)+1,"M1","M2-ventes","M3-ventes"))</f>
        <v/>
      </c>
      <c r="M5" s="26" t="str">
        <f>IF(OR((YEAR(M$3)-YEAR(Empoissonnement!$B5))*12+MONTH(M$3)-MONTH(Empoissonnement!$B5)&lt;0,(YEAR(M$3)-YEAR(Empoissonnement!$B5))*12+MONTH(M$3)-MONTH(Empoissonnement!$B5)&gt;2),"",CHOOSE((YEAR(M$3)-YEAR(Empoissonnement!$B5))*12+MONTH(M$3)-MONTH(Empoissonnement!$B5)+1,"M1","M2-ventes","M3-ventes"))</f>
        <v/>
      </c>
      <c r="N5" s="26" t="str">
        <f>IF(OR((YEAR(N$3)-YEAR(Empoissonnement!$B5))*12+MONTH(N$3)-MONTH(Empoissonnement!$B5)&lt;0,(YEAR(N$3)-YEAR(Empoissonnement!$B5))*12+MONTH(N$3)-MONTH(Empoissonnement!$B5)&gt;2),"",CHOOSE((YEAR(N$3)-YEAR(Empoissonnement!$B5))*12+MONTH(N$3)-MONTH(Empoissonnement!$B5)+1,"M1","M2-ventes","M3-ventes"))</f>
        <v/>
      </c>
      <c r="O5" s="26" t="str">
        <f>IF(OR((YEAR(O$3)-YEAR(Empoissonnement!$B5))*12+MONTH(O$3)-MONTH(Empoissonnement!$B5)&lt;0,(YEAR(O$3)-YEAR(Empoissonnement!$B5))*12+MONTH(O$3)-MONTH(Empoissonnement!$B5)&gt;2),"",CHOOSE((YEAR(O$3)-YEAR(Empoissonnement!$B5))*12+MONTH(O$3)-MONTH(Empoissonnement!$B5)+1,"M1","M2-ventes","M3-ventes"))</f>
        <v/>
      </c>
      <c r="P5" s="26" t="str">
        <f>IF(OR((YEAR(P$3)-YEAR(Empoissonnement!$B5))*12+MONTH(P$3)-MONTH(Empoissonnement!$B5)&lt;0,(YEAR(P$3)-YEAR(Empoissonnement!$B5))*12+MONTH(P$3)-MONTH(Empoissonnement!$B5)&gt;2),"",CHOOSE((YEAR(P$3)-YEAR(Empoissonnement!$B5))*12+MONTH(P$3)-MONTH(Empoissonnement!$B5)+1,"M1","M2-ventes","M3-ventes"))</f>
        <v/>
      </c>
      <c r="Q5" s="26" t="str">
        <f>IF(OR((YEAR(Q$3)-YEAR(Empoissonnement!$B5))*12+MONTH(Q$3)-MONTH(Empoissonnement!$B5)&lt;0,(YEAR(Q$3)-YEAR(Empoissonnement!$B5))*12+MONTH(Q$3)-MONTH(Empoissonnement!$B5)&gt;2),"",CHOOSE((YEAR(Q$3)-YEAR(Empoissonnement!$B5))*12+MONTH(Q$3)-MONTH(Empoissonnement!$B5)+1,"M1","M2-ventes","M3-ventes"))</f>
        <v/>
      </c>
      <c r="R5" s="26" t="str">
        <f>IF(OR((YEAR(R$3)-YEAR(Empoissonnement!$B5))*12+MONTH(R$3)-MONTH(Empoissonnement!$B5)&lt;0,(YEAR(R$3)-YEAR(Empoissonnement!$B5))*12+MONTH(R$3)-MONTH(Empoissonnement!$B5)&gt;2),"",CHOOSE((YEAR(R$3)-YEAR(Empoissonnement!$B5))*12+MONTH(R$3)-MONTH(Empoissonnement!$B5)+1,"M1","M2-ventes","M3-ventes"))</f>
        <v/>
      </c>
      <c r="S5" s="26" t="str">
        <f>IF(OR((YEAR(S$3)-YEAR(Empoissonnement!$B5))*12+MONTH(S$3)-MONTH(Empoissonnement!$B5)&lt;0,(YEAR(S$3)-YEAR(Empoissonnement!$B5))*12+MONTH(S$3)-MONTH(Empoissonnement!$B5)&gt;2),"",CHOOSE((YEAR(S$3)-YEAR(Empoissonnement!$B5))*12+MONTH(S$3)-MONTH(Empoissonnement!$B5)+1,"M1","M2-ventes","M3-ventes"))</f>
        <v/>
      </c>
      <c r="T5" s="26" t="str">
        <f>IF(OR((YEAR(T$3)-YEAR(Empoissonnement!$B5))*12+MONTH(T$3)-MONTH(Empoissonnement!$B5)&lt;0,(YEAR(T$3)-YEAR(Empoissonnement!$B5))*12+MONTH(T$3)-MONTH(Empoissonnement!$B5)&gt;2),"",CHOOSE((YEAR(T$3)-YEAR(Empoissonnement!$B5))*12+MONTH(T$3)-MONTH(Empoissonnement!$B5)+1,"M1","M2-ventes","M3-ventes"))</f>
        <v/>
      </c>
      <c r="U5" s="26" t="str">
        <f>IF(OR((YEAR(U$3)-YEAR(Empoissonnement!$B5))*12+MONTH(U$3)-MONTH(Empoissonnement!$B5)&lt;0,(YEAR(U$3)-YEAR(Empoissonnement!$B5))*12+MONTH(U$3)-MONTH(Empoissonnement!$B5)&gt;2),"",CHOOSE((YEAR(U$3)-YEAR(Empoissonnement!$B5))*12+MONTH(U$3)-MONTH(Empoissonnement!$B5)+1,"M1","M2-ventes","M3-ventes"))</f>
        <v/>
      </c>
      <c r="V5" s="26" t="str">
        <f>IF(OR((YEAR(V$3)-YEAR(Empoissonnement!$B5))*12+MONTH(V$3)-MONTH(Empoissonnement!$B5)&lt;0,(YEAR(V$3)-YEAR(Empoissonnement!$B5))*12+MONTH(V$3)-MONTH(Empoissonnement!$B5)&gt;2),"",CHOOSE((YEAR(V$3)-YEAR(Empoissonnement!$B5))*12+MONTH(V$3)-MONTH(Empoissonnement!$B5)+1,"M1","M2-ventes","M3-ventes"))</f>
        <v/>
      </c>
      <c r="W5" s="26" t="str">
        <f>IF(OR((YEAR(W$3)-YEAR(Empoissonnement!$B5))*12+MONTH(W$3)-MONTH(Empoissonnement!$B5)&lt;0,(YEAR(W$3)-YEAR(Empoissonnement!$B5))*12+MONTH(W$3)-MONTH(Empoissonnement!$B5)&gt;2),"",CHOOSE((YEAR(W$3)-YEAR(Empoissonnement!$B5))*12+MONTH(W$3)-MONTH(Empoissonnement!$B5)+1,"M1","M2-ventes","M3-ventes"))</f>
        <v/>
      </c>
    </row>
    <row r="6" spans="1:23" x14ac:dyDescent="0.2">
      <c r="A6" s="21" t="str">
        <f>Empoissonnement!A6</f>
        <v>V3</v>
      </c>
      <c r="B6" s="22">
        <f>Empoissonnement!C6</f>
        <v>8</v>
      </c>
      <c r="C6" s="26" t="str">
        <f>IF(OR((YEAR(C$3)-YEAR(Empoissonnement!$B6))*12+MONTH(C$3)-MONTH(Empoissonnement!$B6)&lt;0,(YEAR(C$3)-YEAR(Empoissonnement!$B6))*12+MONTH(C$3)-MONTH(Empoissonnement!$B6)&gt;2),"",CHOOSE((YEAR(C$3)-YEAR(Empoissonnement!$B6))*12+MONTH(C$3)-MONTH(Empoissonnement!$B6)+1,"M1","M2-ventes","M3-ventes"))</f>
        <v/>
      </c>
      <c r="D6" s="26" t="str">
        <f>IF(OR((YEAR(D$3)-YEAR(Empoissonnement!$B6))*12+MONTH(D$3)-MONTH(Empoissonnement!$B6)&lt;0,(YEAR(D$3)-YEAR(Empoissonnement!$B6))*12+MONTH(D$3)-MONTH(Empoissonnement!$B6)&gt;2),"",CHOOSE((YEAR(D$3)-YEAR(Empoissonnement!$B6))*12+MONTH(D$3)-MONTH(Empoissonnement!$B6)+1,"M1","M2-ventes","M3-ventes"))</f>
        <v/>
      </c>
      <c r="E6" s="26" t="str">
        <f>IF(OR((YEAR(E$3)-YEAR(Empoissonnement!$B6))*12+MONTH(E$3)-MONTH(Empoissonnement!$B6)&lt;0,(YEAR(E$3)-YEAR(Empoissonnement!$B6))*12+MONTH(E$3)-MONTH(Empoissonnement!$B6)&gt;2),"",CHOOSE((YEAR(E$3)-YEAR(Empoissonnement!$B6))*12+MONTH(E$3)-MONTH(Empoissonnement!$B6)+1,"M1","M2-ventes","M3-ventes"))</f>
        <v>M1</v>
      </c>
      <c r="F6" s="26" t="str">
        <f>IF(OR((YEAR(F$3)-YEAR(Empoissonnement!$B6))*12+MONTH(F$3)-MONTH(Empoissonnement!$B6)&lt;0,(YEAR(F$3)-YEAR(Empoissonnement!$B6))*12+MONTH(F$3)-MONTH(Empoissonnement!$B6)&gt;2),"",CHOOSE((YEAR(F$3)-YEAR(Empoissonnement!$B6))*12+MONTH(F$3)-MONTH(Empoissonnement!$B6)+1,"M1","M2-ventes","M3-ventes"))</f>
        <v>M2-ventes</v>
      </c>
      <c r="G6" s="26" t="str">
        <f>IF(OR((YEAR(G$3)-YEAR(Empoissonnement!$B6))*12+MONTH(G$3)-MONTH(Empoissonnement!$B6)&lt;0,(YEAR(G$3)-YEAR(Empoissonnement!$B6))*12+MONTH(G$3)-MONTH(Empoissonnement!$B6)&gt;2),"",CHOOSE((YEAR(G$3)-YEAR(Empoissonnement!$B6))*12+MONTH(G$3)-MONTH(Empoissonnement!$B6)+1,"M1","M2-ventes","M3-ventes"))</f>
        <v>M3-ventes</v>
      </c>
      <c r="H6" s="26" t="str">
        <f>IF(OR((YEAR(H$3)-YEAR(Empoissonnement!$B6))*12+MONTH(H$3)-MONTH(Empoissonnement!$B6)&lt;0,(YEAR(H$3)-YEAR(Empoissonnement!$B6))*12+MONTH(H$3)-MONTH(Empoissonnement!$B6)&gt;2),"",CHOOSE((YEAR(H$3)-YEAR(Empoissonnement!$B6))*12+MONTH(H$3)-MONTH(Empoissonnement!$B6)+1,"M1","M2-ventes","M3-ventes"))</f>
        <v/>
      </c>
      <c r="I6" s="26" t="str">
        <f>IF(OR((YEAR(I$3)-YEAR(Empoissonnement!$B6))*12+MONTH(I$3)-MONTH(Empoissonnement!$B6)&lt;0,(YEAR(I$3)-YEAR(Empoissonnement!$B6))*12+MONTH(I$3)-MONTH(Empoissonnement!$B6)&gt;2),"",CHOOSE((YEAR(I$3)-YEAR(Empoissonnement!$B6))*12+MONTH(I$3)-MONTH(Empoissonnement!$B6)+1,"M1","M2-ventes","M3-ventes"))</f>
        <v/>
      </c>
      <c r="J6" s="26" t="str">
        <f>IF(OR((YEAR(J$3)-YEAR(Empoissonnement!$B6))*12+MONTH(J$3)-MONTH(Empoissonnement!$B6)&lt;0,(YEAR(J$3)-YEAR(Empoissonnement!$B6))*12+MONTH(J$3)-MONTH(Empoissonnement!$B6)&gt;2),"",CHOOSE((YEAR(J$3)-YEAR(Empoissonnement!$B6))*12+MONTH(J$3)-MONTH(Empoissonnement!$B6)+1,"M1","M2-ventes","M3-ventes"))</f>
        <v/>
      </c>
      <c r="K6" s="26" t="str">
        <f>IF(OR((YEAR(K$3)-YEAR(Empoissonnement!$B6))*12+MONTH(K$3)-MONTH(Empoissonnement!$B6)&lt;0,(YEAR(K$3)-YEAR(Empoissonnement!$B6))*12+MONTH(K$3)-MONTH(Empoissonnement!$B6)&gt;2),"",CHOOSE((YEAR(K$3)-YEAR(Empoissonnement!$B6))*12+MONTH(K$3)-MONTH(Empoissonnement!$B6)+1,"M1","M2-ventes","M3-ventes"))</f>
        <v/>
      </c>
      <c r="L6" s="26" t="str">
        <f>IF(OR((YEAR(L$3)-YEAR(Empoissonnement!$B6))*12+MONTH(L$3)-MONTH(Empoissonnement!$B6)&lt;0,(YEAR(L$3)-YEAR(Empoissonnement!$B6))*12+MONTH(L$3)-MONTH(Empoissonnement!$B6)&gt;2),"",CHOOSE((YEAR(L$3)-YEAR(Empoissonnement!$B6))*12+MONTH(L$3)-MONTH(Empoissonnement!$B6)+1,"M1","M2-ventes","M3-ventes"))</f>
        <v/>
      </c>
      <c r="M6" s="26" t="str">
        <f>IF(OR((YEAR(M$3)-YEAR(Empoissonnement!$B6))*12+MONTH(M$3)-MONTH(Empoissonnement!$B6)&lt;0,(YEAR(M$3)-YEAR(Empoissonnement!$B6))*12+MONTH(M$3)-MONTH(Empoissonnement!$B6)&gt;2),"",CHOOSE((YEAR(M$3)-YEAR(Empoissonnement!$B6))*12+MONTH(M$3)-MONTH(Empoissonnement!$B6)+1,"M1","M2-ventes","M3-ventes"))</f>
        <v/>
      </c>
      <c r="N6" s="26" t="str">
        <f>IF(OR((YEAR(N$3)-YEAR(Empoissonnement!$B6))*12+MONTH(N$3)-MONTH(Empoissonnement!$B6)&lt;0,(YEAR(N$3)-YEAR(Empoissonnement!$B6))*12+MONTH(N$3)-MONTH(Empoissonnement!$B6)&gt;2),"",CHOOSE((YEAR(N$3)-YEAR(Empoissonnement!$B6))*12+MONTH(N$3)-MONTH(Empoissonnement!$B6)+1,"M1","M2-ventes","M3-ventes"))</f>
        <v/>
      </c>
      <c r="O6" s="26" t="str">
        <f>IF(OR((YEAR(O$3)-YEAR(Empoissonnement!$B6))*12+MONTH(O$3)-MONTH(Empoissonnement!$B6)&lt;0,(YEAR(O$3)-YEAR(Empoissonnement!$B6))*12+MONTH(O$3)-MONTH(Empoissonnement!$B6)&gt;2),"",CHOOSE((YEAR(O$3)-YEAR(Empoissonnement!$B6))*12+MONTH(O$3)-MONTH(Empoissonnement!$B6)+1,"M1","M2-ventes","M3-ventes"))</f>
        <v/>
      </c>
      <c r="P6" s="26" t="str">
        <f>IF(OR((YEAR(P$3)-YEAR(Empoissonnement!$B6))*12+MONTH(P$3)-MONTH(Empoissonnement!$B6)&lt;0,(YEAR(P$3)-YEAR(Empoissonnement!$B6))*12+MONTH(P$3)-MONTH(Empoissonnement!$B6)&gt;2),"",CHOOSE((YEAR(P$3)-YEAR(Empoissonnement!$B6))*12+MONTH(P$3)-MONTH(Empoissonnement!$B6)+1,"M1","M2-ventes","M3-ventes"))</f>
        <v/>
      </c>
      <c r="Q6" s="26" t="str">
        <f>IF(OR((YEAR(Q$3)-YEAR(Empoissonnement!$B6))*12+MONTH(Q$3)-MONTH(Empoissonnement!$B6)&lt;0,(YEAR(Q$3)-YEAR(Empoissonnement!$B6))*12+MONTH(Q$3)-MONTH(Empoissonnement!$B6)&gt;2),"",CHOOSE((YEAR(Q$3)-YEAR(Empoissonnement!$B6))*12+MONTH(Q$3)-MONTH(Empoissonnement!$B6)+1,"M1","M2-ventes","M3-ventes"))</f>
        <v/>
      </c>
      <c r="R6" s="26" t="str">
        <f>IF(OR((YEAR(R$3)-YEAR(Empoissonnement!$B6))*12+MONTH(R$3)-MONTH(Empoissonnement!$B6)&lt;0,(YEAR(R$3)-YEAR(Empoissonnement!$B6))*12+MONTH(R$3)-MONTH(Empoissonnement!$B6)&gt;2),"",CHOOSE((YEAR(R$3)-YEAR(Empoissonnement!$B6))*12+MONTH(R$3)-MONTH(Empoissonnement!$B6)+1,"M1","M2-ventes","M3-ventes"))</f>
        <v/>
      </c>
      <c r="S6" s="26" t="str">
        <f>IF(OR((YEAR(S$3)-YEAR(Empoissonnement!$B6))*12+MONTH(S$3)-MONTH(Empoissonnement!$B6)&lt;0,(YEAR(S$3)-YEAR(Empoissonnement!$B6))*12+MONTH(S$3)-MONTH(Empoissonnement!$B6)&gt;2),"",CHOOSE((YEAR(S$3)-YEAR(Empoissonnement!$B6))*12+MONTH(S$3)-MONTH(Empoissonnement!$B6)+1,"M1","M2-ventes","M3-ventes"))</f>
        <v/>
      </c>
      <c r="T6" s="26" t="str">
        <f>IF(OR((YEAR(T$3)-YEAR(Empoissonnement!$B6))*12+MONTH(T$3)-MONTH(Empoissonnement!$B6)&lt;0,(YEAR(T$3)-YEAR(Empoissonnement!$B6))*12+MONTH(T$3)-MONTH(Empoissonnement!$B6)&gt;2),"",CHOOSE((YEAR(T$3)-YEAR(Empoissonnement!$B6))*12+MONTH(T$3)-MONTH(Empoissonnement!$B6)+1,"M1","M2-ventes","M3-ventes"))</f>
        <v/>
      </c>
      <c r="U6" s="26" t="str">
        <f>IF(OR((YEAR(U$3)-YEAR(Empoissonnement!$B6))*12+MONTH(U$3)-MONTH(Empoissonnement!$B6)&lt;0,(YEAR(U$3)-YEAR(Empoissonnement!$B6))*12+MONTH(U$3)-MONTH(Empoissonnement!$B6)&gt;2),"",CHOOSE((YEAR(U$3)-YEAR(Empoissonnement!$B6))*12+MONTH(U$3)-MONTH(Empoissonnement!$B6)+1,"M1","M2-ventes","M3-ventes"))</f>
        <v/>
      </c>
      <c r="V6" s="26" t="str">
        <f>IF(OR((YEAR(V$3)-YEAR(Empoissonnement!$B6))*12+MONTH(V$3)-MONTH(Empoissonnement!$B6)&lt;0,(YEAR(V$3)-YEAR(Empoissonnement!$B6))*12+MONTH(V$3)-MONTH(Empoissonnement!$B6)&gt;2),"",CHOOSE((YEAR(V$3)-YEAR(Empoissonnement!$B6))*12+MONTH(V$3)-MONTH(Empoissonnement!$B6)+1,"M1","M2-ventes","M3-ventes"))</f>
        <v/>
      </c>
      <c r="W6" s="26" t="str">
        <f>IF(OR((YEAR(W$3)-YEAR(Empoissonnement!$B6))*12+MONTH(W$3)-MONTH(Empoissonnement!$B6)&lt;0,(YEAR(W$3)-YEAR(Empoissonnement!$B6))*12+MONTH(W$3)-MONTH(Empoissonnement!$B6)&gt;2),"",CHOOSE((YEAR(W$3)-YEAR(Empoissonnement!$B6))*12+MONTH(W$3)-MONTH(Empoissonnement!$B6)+1,"M1","M2-ventes","M3-ventes"))</f>
        <v/>
      </c>
    </row>
    <row r="7" spans="1:23" x14ac:dyDescent="0.2">
      <c r="A7" s="21" t="str">
        <f>Empoissonnement!A7</f>
        <v>V4</v>
      </c>
      <c r="B7" s="22">
        <f>Empoissonnement!C7</f>
        <v>8</v>
      </c>
      <c r="C7" s="26" t="str">
        <f>IF(OR((YEAR(C$3)-YEAR(Empoissonnement!$B7))*12+MONTH(C$3)-MONTH(Empoissonnement!$B7)&lt;0,(YEAR(C$3)-YEAR(Empoissonnement!$B7))*12+MONTH(C$3)-MONTH(Empoissonnement!$B7)&gt;2),"",CHOOSE((YEAR(C$3)-YEAR(Empoissonnement!$B7))*12+MONTH(C$3)-MONTH(Empoissonnement!$B7)+1,"M1","M2-ventes","M3-ventes"))</f>
        <v/>
      </c>
      <c r="D7" s="26" t="str">
        <f>IF(OR((YEAR(D$3)-YEAR(Empoissonnement!$B7))*12+MONTH(D$3)-MONTH(Empoissonnement!$B7)&lt;0,(YEAR(D$3)-YEAR(Empoissonnement!$B7))*12+MONTH(D$3)-MONTH(Empoissonnement!$B7)&gt;2),"",CHOOSE((YEAR(D$3)-YEAR(Empoissonnement!$B7))*12+MONTH(D$3)-MONTH(Empoissonnement!$B7)+1,"M1","M2-ventes","M3-ventes"))</f>
        <v/>
      </c>
      <c r="E7" s="26" t="str">
        <f>IF(OR((YEAR(E$3)-YEAR(Empoissonnement!$B7))*12+MONTH(E$3)-MONTH(Empoissonnement!$B7)&lt;0,(YEAR(E$3)-YEAR(Empoissonnement!$B7))*12+MONTH(E$3)-MONTH(Empoissonnement!$B7)&gt;2),"",CHOOSE((YEAR(E$3)-YEAR(Empoissonnement!$B7))*12+MONTH(E$3)-MONTH(Empoissonnement!$B7)+1,"M1","M2-ventes","M3-ventes"))</f>
        <v/>
      </c>
      <c r="F7" s="26" t="str">
        <f>IF(OR((YEAR(F$3)-YEAR(Empoissonnement!$B7))*12+MONTH(F$3)-MONTH(Empoissonnement!$B7)&lt;0,(YEAR(F$3)-YEAR(Empoissonnement!$B7))*12+MONTH(F$3)-MONTH(Empoissonnement!$B7)&gt;2),"",CHOOSE((YEAR(F$3)-YEAR(Empoissonnement!$B7))*12+MONTH(F$3)-MONTH(Empoissonnement!$B7)+1,"M1","M2-ventes","M3-ventes"))</f>
        <v>M1</v>
      </c>
      <c r="G7" s="26" t="str">
        <f>IF(OR((YEAR(G$3)-YEAR(Empoissonnement!$B7))*12+MONTH(G$3)-MONTH(Empoissonnement!$B7)&lt;0,(YEAR(G$3)-YEAR(Empoissonnement!$B7))*12+MONTH(G$3)-MONTH(Empoissonnement!$B7)&gt;2),"",CHOOSE((YEAR(G$3)-YEAR(Empoissonnement!$B7))*12+MONTH(G$3)-MONTH(Empoissonnement!$B7)+1,"M1","M2-ventes","M3-ventes"))</f>
        <v>M2-ventes</v>
      </c>
      <c r="H7" s="26" t="str">
        <f>IF(OR((YEAR(H$3)-YEAR(Empoissonnement!$B7))*12+MONTH(H$3)-MONTH(Empoissonnement!$B7)&lt;0,(YEAR(H$3)-YEAR(Empoissonnement!$B7))*12+MONTH(H$3)-MONTH(Empoissonnement!$B7)&gt;2),"",CHOOSE((YEAR(H$3)-YEAR(Empoissonnement!$B7))*12+MONTH(H$3)-MONTH(Empoissonnement!$B7)+1,"M1","M2-ventes","M3-ventes"))</f>
        <v>M3-ventes</v>
      </c>
      <c r="I7" s="26" t="str">
        <f>IF(OR((YEAR(I$3)-YEAR(Empoissonnement!$B7))*12+MONTH(I$3)-MONTH(Empoissonnement!$B7)&lt;0,(YEAR(I$3)-YEAR(Empoissonnement!$B7))*12+MONTH(I$3)-MONTH(Empoissonnement!$B7)&gt;2),"",CHOOSE((YEAR(I$3)-YEAR(Empoissonnement!$B7))*12+MONTH(I$3)-MONTH(Empoissonnement!$B7)+1,"M1","M2-ventes","M3-ventes"))</f>
        <v/>
      </c>
      <c r="J7" s="26" t="str">
        <f>IF(OR((YEAR(J$3)-YEAR(Empoissonnement!$B7))*12+MONTH(J$3)-MONTH(Empoissonnement!$B7)&lt;0,(YEAR(J$3)-YEAR(Empoissonnement!$B7))*12+MONTH(J$3)-MONTH(Empoissonnement!$B7)&gt;2),"",CHOOSE((YEAR(J$3)-YEAR(Empoissonnement!$B7))*12+MONTH(J$3)-MONTH(Empoissonnement!$B7)+1,"M1","M2-ventes","M3-ventes"))</f>
        <v/>
      </c>
      <c r="K7" s="26" t="str">
        <f>IF(OR((YEAR(K$3)-YEAR(Empoissonnement!$B7))*12+MONTH(K$3)-MONTH(Empoissonnement!$B7)&lt;0,(YEAR(K$3)-YEAR(Empoissonnement!$B7))*12+MONTH(K$3)-MONTH(Empoissonnement!$B7)&gt;2),"",CHOOSE((YEAR(K$3)-YEAR(Empoissonnement!$B7))*12+MONTH(K$3)-MONTH(Empoissonnement!$B7)+1,"M1","M2-ventes","M3-ventes"))</f>
        <v/>
      </c>
      <c r="L7" s="26" t="str">
        <f>IF(OR((YEAR(L$3)-YEAR(Empoissonnement!$B7))*12+MONTH(L$3)-MONTH(Empoissonnement!$B7)&lt;0,(YEAR(L$3)-YEAR(Empoissonnement!$B7))*12+MONTH(L$3)-MONTH(Empoissonnement!$B7)&gt;2),"",CHOOSE((YEAR(L$3)-YEAR(Empoissonnement!$B7))*12+MONTH(L$3)-MONTH(Empoissonnement!$B7)+1,"M1","M2-ventes","M3-ventes"))</f>
        <v/>
      </c>
      <c r="M7" s="26" t="str">
        <f>IF(OR((YEAR(M$3)-YEAR(Empoissonnement!$B7))*12+MONTH(M$3)-MONTH(Empoissonnement!$B7)&lt;0,(YEAR(M$3)-YEAR(Empoissonnement!$B7))*12+MONTH(M$3)-MONTH(Empoissonnement!$B7)&gt;2),"",CHOOSE((YEAR(M$3)-YEAR(Empoissonnement!$B7))*12+MONTH(M$3)-MONTH(Empoissonnement!$B7)+1,"M1","M2-ventes","M3-ventes"))</f>
        <v/>
      </c>
      <c r="N7" s="26" t="str">
        <f>IF(OR((YEAR(N$3)-YEAR(Empoissonnement!$B7))*12+MONTH(N$3)-MONTH(Empoissonnement!$B7)&lt;0,(YEAR(N$3)-YEAR(Empoissonnement!$B7))*12+MONTH(N$3)-MONTH(Empoissonnement!$B7)&gt;2),"",CHOOSE((YEAR(N$3)-YEAR(Empoissonnement!$B7))*12+MONTH(N$3)-MONTH(Empoissonnement!$B7)+1,"M1","M2-ventes","M3-ventes"))</f>
        <v/>
      </c>
      <c r="O7" s="26" t="str">
        <f>IF(OR((YEAR(O$3)-YEAR(Empoissonnement!$B7))*12+MONTH(O$3)-MONTH(Empoissonnement!$B7)&lt;0,(YEAR(O$3)-YEAR(Empoissonnement!$B7))*12+MONTH(O$3)-MONTH(Empoissonnement!$B7)&gt;2),"",CHOOSE((YEAR(O$3)-YEAR(Empoissonnement!$B7))*12+MONTH(O$3)-MONTH(Empoissonnement!$B7)+1,"M1","M2-ventes","M3-ventes"))</f>
        <v/>
      </c>
      <c r="P7" s="26" t="str">
        <f>IF(OR((YEAR(P$3)-YEAR(Empoissonnement!$B7))*12+MONTH(P$3)-MONTH(Empoissonnement!$B7)&lt;0,(YEAR(P$3)-YEAR(Empoissonnement!$B7))*12+MONTH(P$3)-MONTH(Empoissonnement!$B7)&gt;2),"",CHOOSE((YEAR(P$3)-YEAR(Empoissonnement!$B7))*12+MONTH(P$3)-MONTH(Empoissonnement!$B7)+1,"M1","M2-ventes","M3-ventes"))</f>
        <v/>
      </c>
      <c r="Q7" s="26" t="str">
        <f>IF(OR((YEAR(Q$3)-YEAR(Empoissonnement!$B7))*12+MONTH(Q$3)-MONTH(Empoissonnement!$B7)&lt;0,(YEAR(Q$3)-YEAR(Empoissonnement!$B7))*12+MONTH(Q$3)-MONTH(Empoissonnement!$B7)&gt;2),"",CHOOSE((YEAR(Q$3)-YEAR(Empoissonnement!$B7))*12+MONTH(Q$3)-MONTH(Empoissonnement!$B7)+1,"M1","M2-ventes","M3-ventes"))</f>
        <v/>
      </c>
      <c r="R7" s="26" t="str">
        <f>IF(OR((YEAR(R$3)-YEAR(Empoissonnement!$B7))*12+MONTH(R$3)-MONTH(Empoissonnement!$B7)&lt;0,(YEAR(R$3)-YEAR(Empoissonnement!$B7))*12+MONTH(R$3)-MONTH(Empoissonnement!$B7)&gt;2),"",CHOOSE((YEAR(R$3)-YEAR(Empoissonnement!$B7))*12+MONTH(R$3)-MONTH(Empoissonnement!$B7)+1,"M1","M2-ventes","M3-ventes"))</f>
        <v/>
      </c>
      <c r="S7" s="26" t="str">
        <f>IF(OR((YEAR(S$3)-YEAR(Empoissonnement!$B7))*12+MONTH(S$3)-MONTH(Empoissonnement!$B7)&lt;0,(YEAR(S$3)-YEAR(Empoissonnement!$B7))*12+MONTH(S$3)-MONTH(Empoissonnement!$B7)&gt;2),"",CHOOSE((YEAR(S$3)-YEAR(Empoissonnement!$B7))*12+MONTH(S$3)-MONTH(Empoissonnement!$B7)+1,"M1","M2-ventes","M3-ventes"))</f>
        <v/>
      </c>
      <c r="T7" s="26" t="str">
        <f>IF(OR((YEAR(T$3)-YEAR(Empoissonnement!$B7))*12+MONTH(T$3)-MONTH(Empoissonnement!$B7)&lt;0,(YEAR(T$3)-YEAR(Empoissonnement!$B7))*12+MONTH(T$3)-MONTH(Empoissonnement!$B7)&gt;2),"",CHOOSE((YEAR(T$3)-YEAR(Empoissonnement!$B7))*12+MONTH(T$3)-MONTH(Empoissonnement!$B7)+1,"M1","M2-ventes","M3-ventes"))</f>
        <v/>
      </c>
      <c r="U7" s="26" t="str">
        <f>IF(OR((YEAR(U$3)-YEAR(Empoissonnement!$B7))*12+MONTH(U$3)-MONTH(Empoissonnement!$B7)&lt;0,(YEAR(U$3)-YEAR(Empoissonnement!$B7))*12+MONTH(U$3)-MONTH(Empoissonnement!$B7)&gt;2),"",CHOOSE((YEAR(U$3)-YEAR(Empoissonnement!$B7))*12+MONTH(U$3)-MONTH(Empoissonnement!$B7)+1,"M1","M2-ventes","M3-ventes"))</f>
        <v/>
      </c>
      <c r="V7" s="26" t="str">
        <f>IF(OR((YEAR(V$3)-YEAR(Empoissonnement!$B7))*12+MONTH(V$3)-MONTH(Empoissonnement!$B7)&lt;0,(YEAR(V$3)-YEAR(Empoissonnement!$B7))*12+MONTH(V$3)-MONTH(Empoissonnement!$B7)&gt;2),"",CHOOSE((YEAR(V$3)-YEAR(Empoissonnement!$B7))*12+MONTH(V$3)-MONTH(Empoissonnement!$B7)+1,"M1","M2-ventes","M3-ventes"))</f>
        <v/>
      </c>
      <c r="W7" s="26" t="str">
        <f>IF(OR((YEAR(W$3)-YEAR(Empoissonnement!$B7))*12+MONTH(W$3)-MONTH(Empoissonnement!$B7)&lt;0,(YEAR(W$3)-YEAR(Empoissonnement!$B7))*12+MONTH(W$3)-MONTH(Empoissonnement!$B7)&gt;2),"",CHOOSE((YEAR(W$3)-YEAR(Empoissonnement!$B7))*12+MONTH(W$3)-MONTH(Empoissonnement!$B7)+1,"M1","M2-ventes","M3-ventes"))</f>
        <v/>
      </c>
    </row>
    <row r="8" spans="1:23" x14ac:dyDescent="0.2">
      <c r="A8" s="21" t="str">
        <f>Empoissonnement!A8</f>
        <v>V5</v>
      </c>
      <c r="B8" s="22">
        <f>Empoissonnement!C8</f>
        <v>10</v>
      </c>
      <c r="C8" s="26" t="str">
        <f>IF(OR((YEAR(C$3)-YEAR(Empoissonnement!$B8))*12+MONTH(C$3)-MONTH(Empoissonnement!$B8)&lt;0,(YEAR(C$3)-YEAR(Empoissonnement!$B8))*12+MONTH(C$3)-MONTH(Empoissonnement!$B8)&gt;2),"",CHOOSE((YEAR(C$3)-YEAR(Empoissonnement!$B8))*12+MONTH(C$3)-MONTH(Empoissonnement!$B8)+1,"M1","M2-ventes","M3-ventes"))</f>
        <v/>
      </c>
      <c r="D8" s="26" t="str">
        <f>IF(OR((YEAR(D$3)-YEAR(Empoissonnement!$B8))*12+MONTH(D$3)-MONTH(Empoissonnement!$B8)&lt;0,(YEAR(D$3)-YEAR(Empoissonnement!$B8))*12+MONTH(D$3)-MONTH(Empoissonnement!$B8)&gt;2),"",CHOOSE((YEAR(D$3)-YEAR(Empoissonnement!$B8))*12+MONTH(D$3)-MONTH(Empoissonnement!$B8)+1,"M1","M2-ventes","M3-ventes"))</f>
        <v/>
      </c>
      <c r="E8" s="26" t="str">
        <f>IF(OR((YEAR(E$3)-YEAR(Empoissonnement!$B8))*12+MONTH(E$3)-MONTH(Empoissonnement!$B8)&lt;0,(YEAR(E$3)-YEAR(Empoissonnement!$B8))*12+MONTH(E$3)-MONTH(Empoissonnement!$B8)&gt;2),"",CHOOSE((YEAR(E$3)-YEAR(Empoissonnement!$B8))*12+MONTH(E$3)-MONTH(Empoissonnement!$B8)+1,"M1","M2-ventes","M3-ventes"))</f>
        <v/>
      </c>
      <c r="F8" s="26" t="str">
        <f>IF(OR((YEAR(F$3)-YEAR(Empoissonnement!$B8))*12+MONTH(F$3)-MONTH(Empoissonnement!$B8)&lt;0,(YEAR(F$3)-YEAR(Empoissonnement!$B8))*12+MONTH(F$3)-MONTH(Empoissonnement!$B8)&gt;2),"",CHOOSE((YEAR(F$3)-YEAR(Empoissonnement!$B8))*12+MONTH(F$3)-MONTH(Empoissonnement!$B8)+1,"M1","M2-ventes","M3-ventes"))</f>
        <v/>
      </c>
      <c r="G8" s="26" t="str">
        <f>IF(OR((YEAR(G$3)-YEAR(Empoissonnement!$B8))*12+MONTH(G$3)-MONTH(Empoissonnement!$B8)&lt;0,(YEAR(G$3)-YEAR(Empoissonnement!$B8))*12+MONTH(G$3)-MONTH(Empoissonnement!$B8)&gt;2),"",CHOOSE((YEAR(G$3)-YEAR(Empoissonnement!$B8))*12+MONTH(G$3)-MONTH(Empoissonnement!$B8)+1,"M1","M2-ventes","M3-ventes"))</f>
        <v>M1</v>
      </c>
      <c r="H8" s="26" t="str">
        <f>IF(OR((YEAR(H$3)-YEAR(Empoissonnement!$B8))*12+MONTH(H$3)-MONTH(Empoissonnement!$B8)&lt;0,(YEAR(H$3)-YEAR(Empoissonnement!$B8))*12+MONTH(H$3)-MONTH(Empoissonnement!$B8)&gt;2),"",CHOOSE((YEAR(H$3)-YEAR(Empoissonnement!$B8))*12+MONTH(H$3)-MONTH(Empoissonnement!$B8)+1,"M1","M2-ventes","M3-ventes"))</f>
        <v>M2-ventes</v>
      </c>
      <c r="I8" s="26" t="str">
        <f>IF(OR((YEAR(I$3)-YEAR(Empoissonnement!$B8))*12+MONTH(I$3)-MONTH(Empoissonnement!$B8)&lt;0,(YEAR(I$3)-YEAR(Empoissonnement!$B8))*12+MONTH(I$3)-MONTH(Empoissonnement!$B8)&gt;2),"",CHOOSE((YEAR(I$3)-YEAR(Empoissonnement!$B8))*12+MONTH(I$3)-MONTH(Empoissonnement!$B8)+1,"M1","M2-ventes","M3-ventes"))</f>
        <v>M3-ventes</v>
      </c>
      <c r="J8" s="26" t="str">
        <f>IF(OR((YEAR(J$3)-YEAR(Empoissonnement!$B8))*12+MONTH(J$3)-MONTH(Empoissonnement!$B8)&lt;0,(YEAR(J$3)-YEAR(Empoissonnement!$B8))*12+MONTH(J$3)-MONTH(Empoissonnement!$B8)&gt;2),"",CHOOSE((YEAR(J$3)-YEAR(Empoissonnement!$B8))*12+MONTH(J$3)-MONTH(Empoissonnement!$B8)+1,"M1","M2-ventes","M3-ventes"))</f>
        <v/>
      </c>
      <c r="K8" s="26" t="str">
        <f>IF(OR((YEAR(K$3)-YEAR(Empoissonnement!$B8))*12+MONTH(K$3)-MONTH(Empoissonnement!$B8)&lt;0,(YEAR(K$3)-YEAR(Empoissonnement!$B8))*12+MONTH(K$3)-MONTH(Empoissonnement!$B8)&gt;2),"",CHOOSE((YEAR(K$3)-YEAR(Empoissonnement!$B8))*12+MONTH(K$3)-MONTH(Empoissonnement!$B8)+1,"M1","M2-ventes","M3-ventes"))</f>
        <v/>
      </c>
      <c r="L8" s="26" t="str">
        <f>IF(OR((YEAR(L$3)-YEAR(Empoissonnement!$B8))*12+MONTH(L$3)-MONTH(Empoissonnement!$B8)&lt;0,(YEAR(L$3)-YEAR(Empoissonnement!$B8))*12+MONTH(L$3)-MONTH(Empoissonnement!$B8)&gt;2),"",CHOOSE((YEAR(L$3)-YEAR(Empoissonnement!$B8))*12+MONTH(L$3)-MONTH(Empoissonnement!$B8)+1,"M1","M2-ventes","M3-ventes"))</f>
        <v/>
      </c>
      <c r="M8" s="26" t="str">
        <f>IF(OR((YEAR(M$3)-YEAR(Empoissonnement!$B8))*12+MONTH(M$3)-MONTH(Empoissonnement!$B8)&lt;0,(YEAR(M$3)-YEAR(Empoissonnement!$B8))*12+MONTH(M$3)-MONTH(Empoissonnement!$B8)&gt;2),"",CHOOSE((YEAR(M$3)-YEAR(Empoissonnement!$B8))*12+MONTH(M$3)-MONTH(Empoissonnement!$B8)+1,"M1","M2-ventes","M3-ventes"))</f>
        <v/>
      </c>
      <c r="N8" s="26" t="str">
        <f>IF(OR((YEAR(N$3)-YEAR(Empoissonnement!$B8))*12+MONTH(N$3)-MONTH(Empoissonnement!$B8)&lt;0,(YEAR(N$3)-YEAR(Empoissonnement!$B8))*12+MONTH(N$3)-MONTH(Empoissonnement!$B8)&gt;2),"",CHOOSE((YEAR(N$3)-YEAR(Empoissonnement!$B8))*12+MONTH(N$3)-MONTH(Empoissonnement!$B8)+1,"M1","M2-ventes","M3-ventes"))</f>
        <v/>
      </c>
      <c r="O8" s="26" t="str">
        <f>IF(OR((YEAR(O$3)-YEAR(Empoissonnement!$B8))*12+MONTH(O$3)-MONTH(Empoissonnement!$B8)&lt;0,(YEAR(O$3)-YEAR(Empoissonnement!$B8))*12+MONTH(O$3)-MONTH(Empoissonnement!$B8)&gt;2),"",CHOOSE((YEAR(O$3)-YEAR(Empoissonnement!$B8))*12+MONTH(O$3)-MONTH(Empoissonnement!$B8)+1,"M1","M2-ventes","M3-ventes"))</f>
        <v/>
      </c>
      <c r="P8" s="26" t="str">
        <f>IF(OR((YEAR(P$3)-YEAR(Empoissonnement!$B8))*12+MONTH(P$3)-MONTH(Empoissonnement!$B8)&lt;0,(YEAR(P$3)-YEAR(Empoissonnement!$B8))*12+MONTH(P$3)-MONTH(Empoissonnement!$B8)&gt;2),"",CHOOSE((YEAR(P$3)-YEAR(Empoissonnement!$B8))*12+MONTH(P$3)-MONTH(Empoissonnement!$B8)+1,"M1","M2-ventes","M3-ventes"))</f>
        <v/>
      </c>
      <c r="Q8" s="26" t="str">
        <f>IF(OR((YEAR(Q$3)-YEAR(Empoissonnement!$B8))*12+MONTH(Q$3)-MONTH(Empoissonnement!$B8)&lt;0,(YEAR(Q$3)-YEAR(Empoissonnement!$B8))*12+MONTH(Q$3)-MONTH(Empoissonnement!$B8)&gt;2),"",CHOOSE((YEAR(Q$3)-YEAR(Empoissonnement!$B8))*12+MONTH(Q$3)-MONTH(Empoissonnement!$B8)+1,"M1","M2-ventes","M3-ventes"))</f>
        <v/>
      </c>
      <c r="R8" s="26" t="str">
        <f>IF(OR((YEAR(R$3)-YEAR(Empoissonnement!$B8))*12+MONTH(R$3)-MONTH(Empoissonnement!$B8)&lt;0,(YEAR(R$3)-YEAR(Empoissonnement!$B8))*12+MONTH(R$3)-MONTH(Empoissonnement!$B8)&gt;2),"",CHOOSE((YEAR(R$3)-YEAR(Empoissonnement!$B8))*12+MONTH(R$3)-MONTH(Empoissonnement!$B8)+1,"M1","M2-ventes","M3-ventes"))</f>
        <v/>
      </c>
      <c r="S8" s="26" t="str">
        <f>IF(OR((YEAR(S$3)-YEAR(Empoissonnement!$B8))*12+MONTH(S$3)-MONTH(Empoissonnement!$B8)&lt;0,(YEAR(S$3)-YEAR(Empoissonnement!$B8))*12+MONTH(S$3)-MONTH(Empoissonnement!$B8)&gt;2),"",CHOOSE((YEAR(S$3)-YEAR(Empoissonnement!$B8))*12+MONTH(S$3)-MONTH(Empoissonnement!$B8)+1,"M1","M2-ventes","M3-ventes"))</f>
        <v/>
      </c>
      <c r="T8" s="26" t="str">
        <f>IF(OR((YEAR(T$3)-YEAR(Empoissonnement!$B8))*12+MONTH(T$3)-MONTH(Empoissonnement!$B8)&lt;0,(YEAR(T$3)-YEAR(Empoissonnement!$B8))*12+MONTH(T$3)-MONTH(Empoissonnement!$B8)&gt;2),"",CHOOSE((YEAR(T$3)-YEAR(Empoissonnement!$B8))*12+MONTH(T$3)-MONTH(Empoissonnement!$B8)+1,"M1","M2-ventes","M3-ventes"))</f>
        <v/>
      </c>
      <c r="U8" s="26" t="str">
        <f>IF(OR((YEAR(U$3)-YEAR(Empoissonnement!$B8))*12+MONTH(U$3)-MONTH(Empoissonnement!$B8)&lt;0,(YEAR(U$3)-YEAR(Empoissonnement!$B8))*12+MONTH(U$3)-MONTH(Empoissonnement!$B8)&gt;2),"",CHOOSE((YEAR(U$3)-YEAR(Empoissonnement!$B8))*12+MONTH(U$3)-MONTH(Empoissonnement!$B8)+1,"M1","M2-ventes","M3-ventes"))</f>
        <v/>
      </c>
      <c r="V8" s="26" t="str">
        <f>IF(OR((YEAR(V$3)-YEAR(Empoissonnement!$B8))*12+MONTH(V$3)-MONTH(Empoissonnement!$B8)&lt;0,(YEAR(V$3)-YEAR(Empoissonnement!$B8))*12+MONTH(V$3)-MONTH(Empoissonnement!$B8)&gt;2),"",CHOOSE((YEAR(V$3)-YEAR(Empoissonnement!$B8))*12+MONTH(V$3)-MONTH(Empoissonnement!$B8)+1,"M1","M2-ventes","M3-ventes"))</f>
        <v/>
      </c>
      <c r="W8" s="26" t="str">
        <f>IF(OR((YEAR(W$3)-YEAR(Empoissonnement!$B8))*12+MONTH(W$3)-MONTH(Empoissonnement!$B8)&lt;0,(YEAR(W$3)-YEAR(Empoissonnement!$B8))*12+MONTH(W$3)-MONTH(Empoissonnement!$B8)&gt;2),"",CHOOSE((YEAR(W$3)-YEAR(Empoissonnement!$B8))*12+MONTH(W$3)-MONTH(Empoissonnement!$B8)+1,"M1","M2-ventes","M3-ventes"))</f>
        <v/>
      </c>
    </row>
    <row r="9" spans="1:23" x14ac:dyDescent="0.2">
      <c r="A9" s="21" t="str">
        <f>Empoissonnement!A9</f>
        <v>V6</v>
      </c>
      <c r="B9" s="22">
        <f>Empoissonnement!C9</f>
        <v>12</v>
      </c>
      <c r="C9" s="26" t="str">
        <f>IF(OR((YEAR(C$3)-YEAR(Empoissonnement!$B9))*12+MONTH(C$3)-MONTH(Empoissonnement!$B9)&lt;0,(YEAR(C$3)-YEAR(Empoissonnement!$B9))*12+MONTH(C$3)-MONTH(Empoissonnement!$B9)&gt;2),"",CHOOSE((YEAR(C$3)-YEAR(Empoissonnement!$B9))*12+MONTH(C$3)-MONTH(Empoissonnement!$B9)+1,"M1","M2-ventes","M3-ventes"))</f>
        <v/>
      </c>
      <c r="D9" s="26" t="str">
        <f>IF(OR((YEAR(D$3)-YEAR(Empoissonnement!$B9))*12+MONTH(D$3)-MONTH(Empoissonnement!$B9)&lt;0,(YEAR(D$3)-YEAR(Empoissonnement!$B9))*12+MONTH(D$3)-MONTH(Empoissonnement!$B9)&gt;2),"",CHOOSE((YEAR(D$3)-YEAR(Empoissonnement!$B9))*12+MONTH(D$3)-MONTH(Empoissonnement!$B9)+1,"M1","M2-ventes","M3-ventes"))</f>
        <v/>
      </c>
      <c r="E9" s="26" t="str">
        <f>IF(OR((YEAR(E$3)-YEAR(Empoissonnement!$B9))*12+MONTH(E$3)-MONTH(Empoissonnement!$B9)&lt;0,(YEAR(E$3)-YEAR(Empoissonnement!$B9))*12+MONTH(E$3)-MONTH(Empoissonnement!$B9)&gt;2),"",CHOOSE((YEAR(E$3)-YEAR(Empoissonnement!$B9))*12+MONTH(E$3)-MONTH(Empoissonnement!$B9)+1,"M1","M2-ventes","M3-ventes"))</f>
        <v/>
      </c>
      <c r="F9" s="26" t="str">
        <f>IF(OR((YEAR(F$3)-YEAR(Empoissonnement!$B9))*12+MONTH(F$3)-MONTH(Empoissonnement!$B9)&lt;0,(YEAR(F$3)-YEAR(Empoissonnement!$B9))*12+MONTH(F$3)-MONTH(Empoissonnement!$B9)&gt;2),"",CHOOSE((YEAR(F$3)-YEAR(Empoissonnement!$B9))*12+MONTH(F$3)-MONTH(Empoissonnement!$B9)+1,"M1","M2-ventes","M3-ventes"))</f>
        <v/>
      </c>
      <c r="G9" s="26" t="str">
        <f>IF(OR((YEAR(G$3)-YEAR(Empoissonnement!$B9))*12+MONTH(G$3)-MONTH(Empoissonnement!$B9)&lt;0,(YEAR(G$3)-YEAR(Empoissonnement!$B9))*12+MONTH(G$3)-MONTH(Empoissonnement!$B9)&gt;2),"",CHOOSE((YEAR(G$3)-YEAR(Empoissonnement!$B9))*12+MONTH(G$3)-MONTH(Empoissonnement!$B9)+1,"M1","M2-ventes","M3-ventes"))</f>
        <v/>
      </c>
      <c r="H9" s="26" t="str">
        <f>IF(OR((YEAR(H$3)-YEAR(Empoissonnement!$B9))*12+MONTH(H$3)-MONTH(Empoissonnement!$B9)&lt;0,(YEAR(H$3)-YEAR(Empoissonnement!$B9))*12+MONTH(H$3)-MONTH(Empoissonnement!$B9)&gt;2),"",CHOOSE((YEAR(H$3)-YEAR(Empoissonnement!$B9))*12+MONTH(H$3)-MONTH(Empoissonnement!$B9)+1,"M1","M2-ventes","M3-ventes"))</f>
        <v>M1</v>
      </c>
      <c r="I9" s="26" t="str">
        <f>IF(OR((YEAR(I$3)-YEAR(Empoissonnement!$B9))*12+MONTH(I$3)-MONTH(Empoissonnement!$B9)&lt;0,(YEAR(I$3)-YEAR(Empoissonnement!$B9))*12+MONTH(I$3)-MONTH(Empoissonnement!$B9)&gt;2),"",CHOOSE((YEAR(I$3)-YEAR(Empoissonnement!$B9))*12+MONTH(I$3)-MONTH(Empoissonnement!$B9)+1,"M1","M2-ventes","M3-ventes"))</f>
        <v>M2-ventes</v>
      </c>
      <c r="J9" s="26" t="str">
        <f>IF(OR((YEAR(J$3)-YEAR(Empoissonnement!$B9))*12+MONTH(J$3)-MONTH(Empoissonnement!$B9)&lt;0,(YEAR(J$3)-YEAR(Empoissonnement!$B9))*12+MONTH(J$3)-MONTH(Empoissonnement!$B9)&gt;2),"",CHOOSE((YEAR(J$3)-YEAR(Empoissonnement!$B9))*12+MONTH(J$3)-MONTH(Empoissonnement!$B9)+1,"M1","M2-ventes","M3-ventes"))</f>
        <v>M3-ventes</v>
      </c>
      <c r="K9" s="26" t="str">
        <f>IF(OR((YEAR(K$3)-YEAR(Empoissonnement!$B9))*12+MONTH(K$3)-MONTH(Empoissonnement!$B9)&lt;0,(YEAR(K$3)-YEAR(Empoissonnement!$B9))*12+MONTH(K$3)-MONTH(Empoissonnement!$B9)&gt;2),"",CHOOSE((YEAR(K$3)-YEAR(Empoissonnement!$B9))*12+MONTH(K$3)-MONTH(Empoissonnement!$B9)+1,"M1","M2-ventes","M3-ventes"))</f>
        <v/>
      </c>
      <c r="L9" s="26" t="str">
        <f>IF(OR((YEAR(L$3)-YEAR(Empoissonnement!$B9))*12+MONTH(L$3)-MONTH(Empoissonnement!$B9)&lt;0,(YEAR(L$3)-YEAR(Empoissonnement!$B9))*12+MONTH(L$3)-MONTH(Empoissonnement!$B9)&gt;2),"",CHOOSE((YEAR(L$3)-YEAR(Empoissonnement!$B9))*12+MONTH(L$3)-MONTH(Empoissonnement!$B9)+1,"M1","M2-ventes","M3-ventes"))</f>
        <v/>
      </c>
      <c r="M9" s="26" t="str">
        <f>IF(OR((YEAR(M$3)-YEAR(Empoissonnement!$B9))*12+MONTH(M$3)-MONTH(Empoissonnement!$B9)&lt;0,(YEAR(M$3)-YEAR(Empoissonnement!$B9))*12+MONTH(M$3)-MONTH(Empoissonnement!$B9)&gt;2),"",CHOOSE((YEAR(M$3)-YEAR(Empoissonnement!$B9))*12+MONTH(M$3)-MONTH(Empoissonnement!$B9)+1,"M1","M2-ventes","M3-ventes"))</f>
        <v/>
      </c>
      <c r="N9" s="26" t="str">
        <f>IF(OR((YEAR(N$3)-YEAR(Empoissonnement!$B9))*12+MONTH(N$3)-MONTH(Empoissonnement!$B9)&lt;0,(YEAR(N$3)-YEAR(Empoissonnement!$B9))*12+MONTH(N$3)-MONTH(Empoissonnement!$B9)&gt;2),"",CHOOSE((YEAR(N$3)-YEAR(Empoissonnement!$B9))*12+MONTH(N$3)-MONTH(Empoissonnement!$B9)+1,"M1","M2-ventes","M3-ventes"))</f>
        <v/>
      </c>
      <c r="O9" s="26" t="str">
        <f>IF(OR((YEAR(O$3)-YEAR(Empoissonnement!$B9))*12+MONTH(O$3)-MONTH(Empoissonnement!$B9)&lt;0,(YEAR(O$3)-YEAR(Empoissonnement!$B9))*12+MONTH(O$3)-MONTH(Empoissonnement!$B9)&gt;2),"",CHOOSE((YEAR(O$3)-YEAR(Empoissonnement!$B9))*12+MONTH(O$3)-MONTH(Empoissonnement!$B9)+1,"M1","M2-ventes","M3-ventes"))</f>
        <v/>
      </c>
      <c r="P9" s="26" t="str">
        <f>IF(OR((YEAR(P$3)-YEAR(Empoissonnement!$B9))*12+MONTH(P$3)-MONTH(Empoissonnement!$B9)&lt;0,(YEAR(P$3)-YEAR(Empoissonnement!$B9))*12+MONTH(P$3)-MONTH(Empoissonnement!$B9)&gt;2),"",CHOOSE((YEAR(P$3)-YEAR(Empoissonnement!$B9))*12+MONTH(P$3)-MONTH(Empoissonnement!$B9)+1,"M1","M2-ventes","M3-ventes"))</f>
        <v/>
      </c>
      <c r="Q9" s="26" t="str">
        <f>IF(OR((YEAR(Q$3)-YEAR(Empoissonnement!$B9))*12+MONTH(Q$3)-MONTH(Empoissonnement!$B9)&lt;0,(YEAR(Q$3)-YEAR(Empoissonnement!$B9))*12+MONTH(Q$3)-MONTH(Empoissonnement!$B9)&gt;2),"",CHOOSE((YEAR(Q$3)-YEAR(Empoissonnement!$B9))*12+MONTH(Q$3)-MONTH(Empoissonnement!$B9)+1,"M1","M2-ventes","M3-ventes"))</f>
        <v/>
      </c>
      <c r="R9" s="26" t="str">
        <f>IF(OR((YEAR(R$3)-YEAR(Empoissonnement!$B9))*12+MONTH(R$3)-MONTH(Empoissonnement!$B9)&lt;0,(YEAR(R$3)-YEAR(Empoissonnement!$B9))*12+MONTH(R$3)-MONTH(Empoissonnement!$B9)&gt;2),"",CHOOSE((YEAR(R$3)-YEAR(Empoissonnement!$B9))*12+MONTH(R$3)-MONTH(Empoissonnement!$B9)+1,"M1","M2-ventes","M3-ventes"))</f>
        <v/>
      </c>
      <c r="S9" s="26" t="str">
        <f>IF(OR((YEAR(S$3)-YEAR(Empoissonnement!$B9))*12+MONTH(S$3)-MONTH(Empoissonnement!$B9)&lt;0,(YEAR(S$3)-YEAR(Empoissonnement!$B9))*12+MONTH(S$3)-MONTH(Empoissonnement!$B9)&gt;2),"",CHOOSE((YEAR(S$3)-YEAR(Empoissonnement!$B9))*12+MONTH(S$3)-MONTH(Empoissonnement!$B9)+1,"M1","M2-ventes","M3-ventes"))</f>
        <v/>
      </c>
      <c r="T9" s="26" t="str">
        <f>IF(OR((YEAR(T$3)-YEAR(Empoissonnement!$B9))*12+MONTH(T$3)-MONTH(Empoissonnement!$B9)&lt;0,(YEAR(T$3)-YEAR(Empoissonnement!$B9))*12+MONTH(T$3)-MONTH(Empoissonnement!$B9)&gt;2),"",CHOOSE((YEAR(T$3)-YEAR(Empoissonnement!$B9))*12+MONTH(T$3)-MONTH(Empoissonnement!$B9)+1,"M1","M2-ventes","M3-ventes"))</f>
        <v/>
      </c>
      <c r="U9" s="26" t="str">
        <f>IF(OR((YEAR(U$3)-YEAR(Empoissonnement!$B9))*12+MONTH(U$3)-MONTH(Empoissonnement!$B9)&lt;0,(YEAR(U$3)-YEAR(Empoissonnement!$B9))*12+MONTH(U$3)-MONTH(Empoissonnement!$B9)&gt;2),"",CHOOSE((YEAR(U$3)-YEAR(Empoissonnement!$B9))*12+MONTH(U$3)-MONTH(Empoissonnement!$B9)+1,"M1","M2-ventes","M3-ventes"))</f>
        <v/>
      </c>
      <c r="V9" s="26" t="str">
        <f>IF(OR((YEAR(V$3)-YEAR(Empoissonnement!$B9))*12+MONTH(V$3)-MONTH(Empoissonnement!$B9)&lt;0,(YEAR(V$3)-YEAR(Empoissonnement!$B9))*12+MONTH(V$3)-MONTH(Empoissonnement!$B9)&gt;2),"",CHOOSE((YEAR(V$3)-YEAR(Empoissonnement!$B9))*12+MONTH(V$3)-MONTH(Empoissonnement!$B9)+1,"M1","M2-ventes","M3-ventes"))</f>
        <v/>
      </c>
      <c r="W9" s="26" t="str">
        <f>IF(OR((YEAR(W$3)-YEAR(Empoissonnement!$B9))*12+MONTH(W$3)-MONTH(Empoissonnement!$B9)&lt;0,(YEAR(W$3)-YEAR(Empoissonnement!$B9))*12+MONTH(W$3)-MONTH(Empoissonnement!$B9)&gt;2),"",CHOOSE((YEAR(W$3)-YEAR(Empoissonnement!$B9))*12+MONTH(W$3)-MONTH(Empoissonnement!$B9)+1,"M1","M2-ventes","M3-ventes"))</f>
        <v/>
      </c>
    </row>
    <row r="10" spans="1:23" x14ac:dyDescent="0.2">
      <c r="A10" s="21" t="str">
        <f>Empoissonnement!A10</f>
        <v>V7</v>
      </c>
      <c r="B10" s="22">
        <f>Empoissonnement!C10</f>
        <v>15</v>
      </c>
      <c r="C10" s="26" t="str">
        <f>IF(OR((YEAR(C$3)-YEAR(Empoissonnement!$B10))*12+MONTH(C$3)-MONTH(Empoissonnement!$B10)&lt;0,(YEAR(C$3)-YEAR(Empoissonnement!$B10))*12+MONTH(C$3)-MONTH(Empoissonnement!$B10)&gt;2),"",CHOOSE((YEAR(C$3)-YEAR(Empoissonnement!$B10))*12+MONTH(C$3)-MONTH(Empoissonnement!$B10)+1,"M1","M2-ventes","M3-ventes"))</f>
        <v/>
      </c>
      <c r="D10" s="26" t="str">
        <f>IF(OR((YEAR(D$3)-YEAR(Empoissonnement!$B10))*12+MONTH(D$3)-MONTH(Empoissonnement!$B10)&lt;0,(YEAR(D$3)-YEAR(Empoissonnement!$B10))*12+MONTH(D$3)-MONTH(Empoissonnement!$B10)&gt;2),"",CHOOSE((YEAR(D$3)-YEAR(Empoissonnement!$B10))*12+MONTH(D$3)-MONTH(Empoissonnement!$B10)+1,"M1","M2-ventes","M3-ventes"))</f>
        <v/>
      </c>
      <c r="E10" s="26" t="str">
        <f>IF(OR((YEAR(E$3)-YEAR(Empoissonnement!$B10))*12+MONTH(E$3)-MONTH(Empoissonnement!$B10)&lt;0,(YEAR(E$3)-YEAR(Empoissonnement!$B10))*12+MONTH(E$3)-MONTH(Empoissonnement!$B10)&gt;2),"",CHOOSE((YEAR(E$3)-YEAR(Empoissonnement!$B10))*12+MONTH(E$3)-MONTH(Empoissonnement!$B10)+1,"M1","M2-ventes","M3-ventes"))</f>
        <v/>
      </c>
      <c r="F10" s="26" t="str">
        <f>IF(OR((YEAR(F$3)-YEAR(Empoissonnement!$B10))*12+MONTH(F$3)-MONTH(Empoissonnement!$B10)&lt;0,(YEAR(F$3)-YEAR(Empoissonnement!$B10))*12+MONTH(F$3)-MONTH(Empoissonnement!$B10)&gt;2),"",CHOOSE((YEAR(F$3)-YEAR(Empoissonnement!$B10))*12+MONTH(F$3)-MONTH(Empoissonnement!$B10)+1,"M1","M2-ventes","M3-ventes"))</f>
        <v/>
      </c>
      <c r="G10" s="26" t="str">
        <f>IF(OR((YEAR(G$3)-YEAR(Empoissonnement!$B10))*12+MONTH(G$3)-MONTH(Empoissonnement!$B10)&lt;0,(YEAR(G$3)-YEAR(Empoissonnement!$B10))*12+MONTH(G$3)-MONTH(Empoissonnement!$B10)&gt;2),"",CHOOSE((YEAR(G$3)-YEAR(Empoissonnement!$B10))*12+MONTH(G$3)-MONTH(Empoissonnement!$B10)+1,"M1","M2-ventes","M3-ventes"))</f>
        <v/>
      </c>
      <c r="H10" s="26" t="str">
        <f>IF(OR((YEAR(H$3)-YEAR(Empoissonnement!$B10))*12+MONTH(H$3)-MONTH(Empoissonnement!$B10)&lt;0,(YEAR(H$3)-YEAR(Empoissonnement!$B10))*12+MONTH(H$3)-MONTH(Empoissonnement!$B10)&gt;2),"",CHOOSE((YEAR(H$3)-YEAR(Empoissonnement!$B10))*12+MONTH(H$3)-MONTH(Empoissonnement!$B10)+1,"M1","M2-ventes","M3-ventes"))</f>
        <v/>
      </c>
      <c r="I10" s="26" t="str">
        <f>IF(OR((YEAR(I$3)-YEAR(Empoissonnement!$B10))*12+MONTH(I$3)-MONTH(Empoissonnement!$B10)&lt;0,(YEAR(I$3)-YEAR(Empoissonnement!$B10))*12+MONTH(I$3)-MONTH(Empoissonnement!$B10)&gt;2),"",CHOOSE((YEAR(I$3)-YEAR(Empoissonnement!$B10))*12+MONTH(I$3)-MONTH(Empoissonnement!$B10)+1,"M1","M2-ventes","M3-ventes"))</f>
        <v>M1</v>
      </c>
      <c r="J10" s="26" t="str">
        <f>IF(OR((YEAR(J$3)-YEAR(Empoissonnement!$B10))*12+MONTH(J$3)-MONTH(Empoissonnement!$B10)&lt;0,(YEAR(J$3)-YEAR(Empoissonnement!$B10))*12+MONTH(J$3)-MONTH(Empoissonnement!$B10)&gt;2),"",CHOOSE((YEAR(J$3)-YEAR(Empoissonnement!$B10))*12+MONTH(J$3)-MONTH(Empoissonnement!$B10)+1,"M1","M2-ventes","M3-ventes"))</f>
        <v>M2-ventes</v>
      </c>
      <c r="K10" s="26" t="str">
        <f>IF(OR((YEAR(K$3)-YEAR(Empoissonnement!$B10))*12+MONTH(K$3)-MONTH(Empoissonnement!$B10)&lt;0,(YEAR(K$3)-YEAR(Empoissonnement!$B10))*12+MONTH(K$3)-MONTH(Empoissonnement!$B10)&gt;2),"",CHOOSE((YEAR(K$3)-YEAR(Empoissonnement!$B10))*12+MONTH(K$3)-MONTH(Empoissonnement!$B10)+1,"M1","M2-ventes","M3-ventes"))</f>
        <v>M3-ventes</v>
      </c>
      <c r="L10" s="26" t="str">
        <f>IF(OR((YEAR(L$3)-YEAR(Empoissonnement!$B10))*12+MONTH(L$3)-MONTH(Empoissonnement!$B10)&lt;0,(YEAR(L$3)-YEAR(Empoissonnement!$B10))*12+MONTH(L$3)-MONTH(Empoissonnement!$B10)&gt;2),"",CHOOSE((YEAR(L$3)-YEAR(Empoissonnement!$B10))*12+MONTH(L$3)-MONTH(Empoissonnement!$B10)+1,"M1","M2-ventes","M3-ventes"))</f>
        <v/>
      </c>
      <c r="M10" s="26" t="str">
        <f>IF(OR((YEAR(M$3)-YEAR(Empoissonnement!$B10))*12+MONTH(M$3)-MONTH(Empoissonnement!$B10)&lt;0,(YEAR(M$3)-YEAR(Empoissonnement!$B10))*12+MONTH(M$3)-MONTH(Empoissonnement!$B10)&gt;2),"",CHOOSE((YEAR(M$3)-YEAR(Empoissonnement!$B10))*12+MONTH(M$3)-MONTH(Empoissonnement!$B10)+1,"M1","M2-ventes","M3-ventes"))</f>
        <v/>
      </c>
      <c r="N10" s="26" t="str">
        <f>IF(OR((YEAR(N$3)-YEAR(Empoissonnement!$B10))*12+MONTH(N$3)-MONTH(Empoissonnement!$B10)&lt;0,(YEAR(N$3)-YEAR(Empoissonnement!$B10))*12+MONTH(N$3)-MONTH(Empoissonnement!$B10)&gt;2),"",CHOOSE((YEAR(N$3)-YEAR(Empoissonnement!$B10))*12+MONTH(N$3)-MONTH(Empoissonnement!$B10)+1,"M1","M2-ventes","M3-ventes"))</f>
        <v/>
      </c>
      <c r="O10" s="26" t="str">
        <f>IF(OR((YEAR(O$3)-YEAR(Empoissonnement!$B10))*12+MONTH(O$3)-MONTH(Empoissonnement!$B10)&lt;0,(YEAR(O$3)-YEAR(Empoissonnement!$B10))*12+MONTH(O$3)-MONTH(Empoissonnement!$B10)&gt;2),"",CHOOSE((YEAR(O$3)-YEAR(Empoissonnement!$B10))*12+MONTH(O$3)-MONTH(Empoissonnement!$B10)+1,"M1","M2-ventes","M3-ventes"))</f>
        <v/>
      </c>
      <c r="P10" s="26" t="str">
        <f>IF(OR((YEAR(P$3)-YEAR(Empoissonnement!$B10))*12+MONTH(P$3)-MONTH(Empoissonnement!$B10)&lt;0,(YEAR(P$3)-YEAR(Empoissonnement!$B10))*12+MONTH(P$3)-MONTH(Empoissonnement!$B10)&gt;2),"",CHOOSE((YEAR(P$3)-YEAR(Empoissonnement!$B10))*12+MONTH(P$3)-MONTH(Empoissonnement!$B10)+1,"M1","M2-ventes","M3-ventes"))</f>
        <v/>
      </c>
      <c r="Q10" s="26" t="str">
        <f>IF(OR((YEAR(Q$3)-YEAR(Empoissonnement!$B10))*12+MONTH(Q$3)-MONTH(Empoissonnement!$B10)&lt;0,(YEAR(Q$3)-YEAR(Empoissonnement!$B10))*12+MONTH(Q$3)-MONTH(Empoissonnement!$B10)&gt;2),"",CHOOSE((YEAR(Q$3)-YEAR(Empoissonnement!$B10))*12+MONTH(Q$3)-MONTH(Empoissonnement!$B10)+1,"M1","M2-ventes","M3-ventes"))</f>
        <v/>
      </c>
      <c r="R10" s="26" t="str">
        <f>IF(OR((YEAR(R$3)-YEAR(Empoissonnement!$B10))*12+MONTH(R$3)-MONTH(Empoissonnement!$B10)&lt;0,(YEAR(R$3)-YEAR(Empoissonnement!$B10))*12+MONTH(R$3)-MONTH(Empoissonnement!$B10)&gt;2),"",CHOOSE((YEAR(R$3)-YEAR(Empoissonnement!$B10))*12+MONTH(R$3)-MONTH(Empoissonnement!$B10)+1,"M1","M2-ventes","M3-ventes"))</f>
        <v/>
      </c>
      <c r="S10" s="26" t="str">
        <f>IF(OR((YEAR(S$3)-YEAR(Empoissonnement!$B10))*12+MONTH(S$3)-MONTH(Empoissonnement!$B10)&lt;0,(YEAR(S$3)-YEAR(Empoissonnement!$B10))*12+MONTH(S$3)-MONTH(Empoissonnement!$B10)&gt;2),"",CHOOSE((YEAR(S$3)-YEAR(Empoissonnement!$B10))*12+MONTH(S$3)-MONTH(Empoissonnement!$B10)+1,"M1","M2-ventes","M3-ventes"))</f>
        <v/>
      </c>
      <c r="T10" s="26" t="str">
        <f>IF(OR((YEAR(T$3)-YEAR(Empoissonnement!$B10))*12+MONTH(T$3)-MONTH(Empoissonnement!$B10)&lt;0,(YEAR(T$3)-YEAR(Empoissonnement!$B10))*12+MONTH(T$3)-MONTH(Empoissonnement!$B10)&gt;2),"",CHOOSE((YEAR(T$3)-YEAR(Empoissonnement!$B10))*12+MONTH(T$3)-MONTH(Empoissonnement!$B10)+1,"M1","M2-ventes","M3-ventes"))</f>
        <v/>
      </c>
      <c r="U10" s="26" t="str">
        <f>IF(OR((YEAR(U$3)-YEAR(Empoissonnement!$B10))*12+MONTH(U$3)-MONTH(Empoissonnement!$B10)&lt;0,(YEAR(U$3)-YEAR(Empoissonnement!$B10))*12+MONTH(U$3)-MONTH(Empoissonnement!$B10)&gt;2),"",CHOOSE((YEAR(U$3)-YEAR(Empoissonnement!$B10))*12+MONTH(U$3)-MONTH(Empoissonnement!$B10)+1,"M1","M2-ventes","M3-ventes"))</f>
        <v/>
      </c>
      <c r="V10" s="26" t="str">
        <f>IF(OR((YEAR(V$3)-YEAR(Empoissonnement!$B10))*12+MONTH(V$3)-MONTH(Empoissonnement!$B10)&lt;0,(YEAR(V$3)-YEAR(Empoissonnement!$B10))*12+MONTH(V$3)-MONTH(Empoissonnement!$B10)&gt;2),"",CHOOSE((YEAR(V$3)-YEAR(Empoissonnement!$B10))*12+MONTH(V$3)-MONTH(Empoissonnement!$B10)+1,"M1","M2-ventes","M3-ventes"))</f>
        <v/>
      </c>
      <c r="W10" s="26" t="str">
        <f>IF(OR((YEAR(W$3)-YEAR(Empoissonnement!$B10))*12+MONTH(W$3)-MONTH(Empoissonnement!$B10)&lt;0,(YEAR(W$3)-YEAR(Empoissonnement!$B10))*12+MONTH(W$3)-MONTH(Empoissonnement!$B10)&gt;2),"",CHOOSE((YEAR(W$3)-YEAR(Empoissonnement!$B10))*12+MONTH(W$3)-MONTH(Empoissonnement!$B10)+1,"M1","M2-ventes","M3-ventes"))</f>
        <v/>
      </c>
    </row>
    <row r="11" spans="1:23" x14ac:dyDescent="0.2">
      <c r="A11" s="21" t="str">
        <f>Empoissonnement!A11</f>
        <v>V8</v>
      </c>
      <c r="B11" s="22">
        <f>Empoissonnement!C11</f>
        <v>15</v>
      </c>
      <c r="C11" s="26" t="str">
        <f>IF(OR((YEAR(C$3)-YEAR(Empoissonnement!$B11))*12+MONTH(C$3)-MONTH(Empoissonnement!$B11)&lt;0,(YEAR(C$3)-YEAR(Empoissonnement!$B11))*12+MONTH(C$3)-MONTH(Empoissonnement!$B11)&gt;2),"",CHOOSE((YEAR(C$3)-YEAR(Empoissonnement!$B11))*12+MONTH(C$3)-MONTH(Empoissonnement!$B11)+1,"M1","M2-ventes","M3-ventes"))</f>
        <v/>
      </c>
      <c r="D11" s="26" t="str">
        <f>IF(OR((YEAR(D$3)-YEAR(Empoissonnement!$B11))*12+MONTH(D$3)-MONTH(Empoissonnement!$B11)&lt;0,(YEAR(D$3)-YEAR(Empoissonnement!$B11))*12+MONTH(D$3)-MONTH(Empoissonnement!$B11)&gt;2),"",CHOOSE((YEAR(D$3)-YEAR(Empoissonnement!$B11))*12+MONTH(D$3)-MONTH(Empoissonnement!$B11)+1,"M1","M2-ventes","M3-ventes"))</f>
        <v/>
      </c>
      <c r="E11" s="26" t="str">
        <f>IF(OR((YEAR(E$3)-YEAR(Empoissonnement!$B11))*12+MONTH(E$3)-MONTH(Empoissonnement!$B11)&lt;0,(YEAR(E$3)-YEAR(Empoissonnement!$B11))*12+MONTH(E$3)-MONTH(Empoissonnement!$B11)&gt;2),"",CHOOSE((YEAR(E$3)-YEAR(Empoissonnement!$B11))*12+MONTH(E$3)-MONTH(Empoissonnement!$B11)+1,"M1","M2-ventes","M3-ventes"))</f>
        <v/>
      </c>
      <c r="F11" s="26" t="str">
        <f>IF(OR((YEAR(F$3)-YEAR(Empoissonnement!$B11))*12+MONTH(F$3)-MONTH(Empoissonnement!$B11)&lt;0,(YEAR(F$3)-YEAR(Empoissonnement!$B11))*12+MONTH(F$3)-MONTH(Empoissonnement!$B11)&gt;2),"",CHOOSE((YEAR(F$3)-YEAR(Empoissonnement!$B11))*12+MONTH(F$3)-MONTH(Empoissonnement!$B11)+1,"M1","M2-ventes","M3-ventes"))</f>
        <v/>
      </c>
      <c r="G11" s="26" t="str">
        <f>IF(OR((YEAR(G$3)-YEAR(Empoissonnement!$B11))*12+MONTH(G$3)-MONTH(Empoissonnement!$B11)&lt;0,(YEAR(G$3)-YEAR(Empoissonnement!$B11))*12+MONTH(G$3)-MONTH(Empoissonnement!$B11)&gt;2),"",CHOOSE((YEAR(G$3)-YEAR(Empoissonnement!$B11))*12+MONTH(G$3)-MONTH(Empoissonnement!$B11)+1,"M1","M2-ventes","M3-ventes"))</f>
        <v/>
      </c>
      <c r="H11" s="26" t="str">
        <f>IF(OR((YEAR(H$3)-YEAR(Empoissonnement!$B11))*12+MONTH(H$3)-MONTH(Empoissonnement!$B11)&lt;0,(YEAR(H$3)-YEAR(Empoissonnement!$B11))*12+MONTH(H$3)-MONTH(Empoissonnement!$B11)&gt;2),"",CHOOSE((YEAR(H$3)-YEAR(Empoissonnement!$B11))*12+MONTH(H$3)-MONTH(Empoissonnement!$B11)+1,"M1","M2-ventes","M3-ventes"))</f>
        <v/>
      </c>
      <c r="I11" s="26" t="str">
        <f>IF(OR((YEAR(I$3)-YEAR(Empoissonnement!$B11))*12+MONTH(I$3)-MONTH(Empoissonnement!$B11)&lt;0,(YEAR(I$3)-YEAR(Empoissonnement!$B11))*12+MONTH(I$3)-MONTH(Empoissonnement!$B11)&gt;2),"",CHOOSE((YEAR(I$3)-YEAR(Empoissonnement!$B11))*12+MONTH(I$3)-MONTH(Empoissonnement!$B11)+1,"M1","M2-ventes","M3-ventes"))</f>
        <v/>
      </c>
      <c r="J11" s="26" t="str">
        <f>IF(OR((YEAR(J$3)-YEAR(Empoissonnement!$B11))*12+MONTH(J$3)-MONTH(Empoissonnement!$B11)&lt;0,(YEAR(J$3)-YEAR(Empoissonnement!$B11))*12+MONTH(J$3)-MONTH(Empoissonnement!$B11)&gt;2),"",CHOOSE((YEAR(J$3)-YEAR(Empoissonnement!$B11))*12+MONTH(J$3)-MONTH(Empoissonnement!$B11)+1,"M1","M2-ventes","M3-ventes"))</f>
        <v>M1</v>
      </c>
      <c r="K11" s="26" t="str">
        <f>IF(OR((YEAR(K$3)-YEAR(Empoissonnement!$B11))*12+MONTH(K$3)-MONTH(Empoissonnement!$B11)&lt;0,(YEAR(K$3)-YEAR(Empoissonnement!$B11))*12+MONTH(K$3)-MONTH(Empoissonnement!$B11)&gt;2),"",CHOOSE((YEAR(K$3)-YEAR(Empoissonnement!$B11))*12+MONTH(K$3)-MONTH(Empoissonnement!$B11)+1,"M1","M2-ventes","M3-ventes"))</f>
        <v>M2-ventes</v>
      </c>
      <c r="L11" s="26" t="str">
        <f>IF(OR((YEAR(L$3)-YEAR(Empoissonnement!$B11))*12+MONTH(L$3)-MONTH(Empoissonnement!$B11)&lt;0,(YEAR(L$3)-YEAR(Empoissonnement!$B11))*12+MONTH(L$3)-MONTH(Empoissonnement!$B11)&gt;2),"",CHOOSE((YEAR(L$3)-YEAR(Empoissonnement!$B11))*12+MONTH(L$3)-MONTH(Empoissonnement!$B11)+1,"M1","M2-ventes","M3-ventes"))</f>
        <v>M3-ventes</v>
      </c>
      <c r="M11" s="26" t="str">
        <f>IF(OR((YEAR(M$3)-YEAR(Empoissonnement!$B11))*12+MONTH(M$3)-MONTH(Empoissonnement!$B11)&lt;0,(YEAR(M$3)-YEAR(Empoissonnement!$B11))*12+MONTH(M$3)-MONTH(Empoissonnement!$B11)&gt;2),"",CHOOSE((YEAR(M$3)-YEAR(Empoissonnement!$B11))*12+MONTH(M$3)-MONTH(Empoissonnement!$B11)+1,"M1","M2-ventes","M3-ventes"))</f>
        <v/>
      </c>
      <c r="N11" s="26" t="str">
        <f>IF(OR((YEAR(N$3)-YEAR(Empoissonnement!$B11))*12+MONTH(N$3)-MONTH(Empoissonnement!$B11)&lt;0,(YEAR(N$3)-YEAR(Empoissonnement!$B11))*12+MONTH(N$3)-MONTH(Empoissonnement!$B11)&gt;2),"",CHOOSE((YEAR(N$3)-YEAR(Empoissonnement!$B11))*12+MONTH(N$3)-MONTH(Empoissonnement!$B11)+1,"M1","M2-ventes","M3-ventes"))</f>
        <v/>
      </c>
      <c r="O11" s="26" t="str">
        <f>IF(OR((YEAR(O$3)-YEAR(Empoissonnement!$B11))*12+MONTH(O$3)-MONTH(Empoissonnement!$B11)&lt;0,(YEAR(O$3)-YEAR(Empoissonnement!$B11))*12+MONTH(O$3)-MONTH(Empoissonnement!$B11)&gt;2),"",CHOOSE((YEAR(O$3)-YEAR(Empoissonnement!$B11))*12+MONTH(O$3)-MONTH(Empoissonnement!$B11)+1,"M1","M2-ventes","M3-ventes"))</f>
        <v/>
      </c>
      <c r="P11" s="26" t="str">
        <f>IF(OR((YEAR(P$3)-YEAR(Empoissonnement!$B11))*12+MONTH(P$3)-MONTH(Empoissonnement!$B11)&lt;0,(YEAR(P$3)-YEAR(Empoissonnement!$B11))*12+MONTH(P$3)-MONTH(Empoissonnement!$B11)&gt;2),"",CHOOSE((YEAR(P$3)-YEAR(Empoissonnement!$B11))*12+MONTH(P$3)-MONTH(Empoissonnement!$B11)+1,"M1","M2-ventes","M3-ventes"))</f>
        <v/>
      </c>
      <c r="Q11" s="26" t="str">
        <f>IF(OR((YEAR(Q$3)-YEAR(Empoissonnement!$B11))*12+MONTH(Q$3)-MONTH(Empoissonnement!$B11)&lt;0,(YEAR(Q$3)-YEAR(Empoissonnement!$B11))*12+MONTH(Q$3)-MONTH(Empoissonnement!$B11)&gt;2),"",CHOOSE((YEAR(Q$3)-YEAR(Empoissonnement!$B11))*12+MONTH(Q$3)-MONTH(Empoissonnement!$B11)+1,"M1","M2-ventes","M3-ventes"))</f>
        <v/>
      </c>
      <c r="R11" s="26" t="str">
        <f>IF(OR((YEAR(R$3)-YEAR(Empoissonnement!$B11))*12+MONTH(R$3)-MONTH(Empoissonnement!$B11)&lt;0,(YEAR(R$3)-YEAR(Empoissonnement!$B11))*12+MONTH(R$3)-MONTH(Empoissonnement!$B11)&gt;2),"",CHOOSE((YEAR(R$3)-YEAR(Empoissonnement!$B11))*12+MONTH(R$3)-MONTH(Empoissonnement!$B11)+1,"M1","M2-ventes","M3-ventes"))</f>
        <v/>
      </c>
      <c r="S11" s="26" t="str">
        <f>IF(OR((YEAR(S$3)-YEAR(Empoissonnement!$B11))*12+MONTH(S$3)-MONTH(Empoissonnement!$B11)&lt;0,(YEAR(S$3)-YEAR(Empoissonnement!$B11))*12+MONTH(S$3)-MONTH(Empoissonnement!$B11)&gt;2),"",CHOOSE((YEAR(S$3)-YEAR(Empoissonnement!$B11))*12+MONTH(S$3)-MONTH(Empoissonnement!$B11)+1,"M1","M2-ventes","M3-ventes"))</f>
        <v/>
      </c>
      <c r="T11" s="26" t="str">
        <f>IF(OR((YEAR(T$3)-YEAR(Empoissonnement!$B11))*12+MONTH(T$3)-MONTH(Empoissonnement!$B11)&lt;0,(YEAR(T$3)-YEAR(Empoissonnement!$B11))*12+MONTH(T$3)-MONTH(Empoissonnement!$B11)&gt;2),"",CHOOSE((YEAR(T$3)-YEAR(Empoissonnement!$B11))*12+MONTH(T$3)-MONTH(Empoissonnement!$B11)+1,"M1","M2-ventes","M3-ventes"))</f>
        <v/>
      </c>
      <c r="U11" s="26" t="str">
        <f>IF(OR((YEAR(U$3)-YEAR(Empoissonnement!$B11))*12+MONTH(U$3)-MONTH(Empoissonnement!$B11)&lt;0,(YEAR(U$3)-YEAR(Empoissonnement!$B11))*12+MONTH(U$3)-MONTH(Empoissonnement!$B11)&gt;2),"",CHOOSE((YEAR(U$3)-YEAR(Empoissonnement!$B11))*12+MONTH(U$3)-MONTH(Empoissonnement!$B11)+1,"M1","M2-ventes","M3-ventes"))</f>
        <v/>
      </c>
      <c r="V11" s="26" t="str">
        <f>IF(OR((YEAR(V$3)-YEAR(Empoissonnement!$B11))*12+MONTH(V$3)-MONTH(Empoissonnement!$B11)&lt;0,(YEAR(V$3)-YEAR(Empoissonnement!$B11))*12+MONTH(V$3)-MONTH(Empoissonnement!$B11)&gt;2),"",CHOOSE((YEAR(V$3)-YEAR(Empoissonnement!$B11))*12+MONTH(V$3)-MONTH(Empoissonnement!$B11)+1,"M1","M2-ventes","M3-ventes"))</f>
        <v/>
      </c>
      <c r="W11" s="26" t="str">
        <f>IF(OR((YEAR(W$3)-YEAR(Empoissonnement!$B11))*12+MONTH(W$3)-MONTH(Empoissonnement!$B11)&lt;0,(YEAR(W$3)-YEAR(Empoissonnement!$B11))*12+MONTH(W$3)-MONTH(Empoissonnement!$B11)&gt;2),"",CHOOSE((YEAR(W$3)-YEAR(Empoissonnement!$B11))*12+MONTH(W$3)-MONTH(Empoissonnement!$B11)+1,"M1","M2-ventes","M3-ventes"))</f>
        <v/>
      </c>
    </row>
    <row r="12" spans="1:23" x14ac:dyDescent="0.2">
      <c r="A12" s="21" t="str">
        <f>Empoissonnement!A12</f>
        <v>V9</v>
      </c>
      <c r="B12" s="22">
        <f>Empoissonnement!C12</f>
        <v>15</v>
      </c>
      <c r="C12" s="26" t="str">
        <f>IF(OR((YEAR(C$3)-YEAR(Empoissonnement!$B12))*12+MONTH(C$3)-MONTH(Empoissonnement!$B12)&lt;0,(YEAR(C$3)-YEAR(Empoissonnement!$B12))*12+MONTH(C$3)-MONTH(Empoissonnement!$B12)&gt;2),"",CHOOSE((YEAR(C$3)-YEAR(Empoissonnement!$B12))*12+MONTH(C$3)-MONTH(Empoissonnement!$B12)+1,"M1","M2-ventes","M3-ventes"))</f>
        <v/>
      </c>
      <c r="D12" s="26" t="str">
        <f>IF(OR((YEAR(D$3)-YEAR(Empoissonnement!$B12))*12+MONTH(D$3)-MONTH(Empoissonnement!$B12)&lt;0,(YEAR(D$3)-YEAR(Empoissonnement!$B12))*12+MONTH(D$3)-MONTH(Empoissonnement!$B12)&gt;2),"",CHOOSE((YEAR(D$3)-YEAR(Empoissonnement!$B12))*12+MONTH(D$3)-MONTH(Empoissonnement!$B12)+1,"M1","M2-ventes","M3-ventes"))</f>
        <v/>
      </c>
      <c r="E12" s="26" t="str">
        <f>IF(OR((YEAR(E$3)-YEAR(Empoissonnement!$B12))*12+MONTH(E$3)-MONTH(Empoissonnement!$B12)&lt;0,(YEAR(E$3)-YEAR(Empoissonnement!$B12))*12+MONTH(E$3)-MONTH(Empoissonnement!$B12)&gt;2),"",CHOOSE((YEAR(E$3)-YEAR(Empoissonnement!$B12))*12+MONTH(E$3)-MONTH(Empoissonnement!$B12)+1,"M1","M2-ventes","M3-ventes"))</f>
        <v/>
      </c>
      <c r="F12" s="26" t="str">
        <f>IF(OR((YEAR(F$3)-YEAR(Empoissonnement!$B12))*12+MONTH(F$3)-MONTH(Empoissonnement!$B12)&lt;0,(YEAR(F$3)-YEAR(Empoissonnement!$B12))*12+MONTH(F$3)-MONTH(Empoissonnement!$B12)&gt;2),"",CHOOSE((YEAR(F$3)-YEAR(Empoissonnement!$B12))*12+MONTH(F$3)-MONTH(Empoissonnement!$B12)+1,"M1","M2-ventes","M3-ventes"))</f>
        <v/>
      </c>
      <c r="G12" s="26" t="str">
        <f>IF(OR((YEAR(G$3)-YEAR(Empoissonnement!$B12))*12+MONTH(G$3)-MONTH(Empoissonnement!$B12)&lt;0,(YEAR(G$3)-YEAR(Empoissonnement!$B12))*12+MONTH(G$3)-MONTH(Empoissonnement!$B12)&gt;2),"",CHOOSE((YEAR(G$3)-YEAR(Empoissonnement!$B12))*12+MONTH(G$3)-MONTH(Empoissonnement!$B12)+1,"M1","M2-ventes","M3-ventes"))</f>
        <v/>
      </c>
      <c r="H12" s="26" t="str">
        <f>IF(OR((YEAR(H$3)-YEAR(Empoissonnement!$B12))*12+MONTH(H$3)-MONTH(Empoissonnement!$B12)&lt;0,(YEAR(H$3)-YEAR(Empoissonnement!$B12))*12+MONTH(H$3)-MONTH(Empoissonnement!$B12)&gt;2),"",CHOOSE((YEAR(H$3)-YEAR(Empoissonnement!$B12))*12+MONTH(H$3)-MONTH(Empoissonnement!$B12)+1,"M1","M2-ventes","M3-ventes"))</f>
        <v/>
      </c>
      <c r="I12" s="26" t="str">
        <f>IF(OR((YEAR(I$3)-YEAR(Empoissonnement!$B12))*12+MONTH(I$3)-MONTH(Empoissonnement!$B12)&lt;0,(YEAR(I$3)-YEAR(Empoissonnement!$B12))*12+MONTH(I$3)-MONTH(Empoissonnement!$B12)&gt;2),"",CHOOSE((YEAR(I$3)-YEAR(Empoissonnement!$B12))*12+MONTH(I$3)-MONTH(Empoissonnement!$B12)+1,"M1","M2-ventes","M3-ventes"))</f>
        <v/>
      </c>
      <c r="J12" s="26" t="str">
        <f>IF(OR((YEAR(J$3)-YEAR(Empoissonnement!$B12))*12+MONTH(J$3)-MONTH(Empoissonnement!$B12)&lt;0,(YEAR(J$3)-YEAR(Empoissonnement!$B12))*12+MONTH(J$3)-MONTH(Empoissonnement!$B12)&gt;2),"",CHOOSE((YEAR(J$3)-YEAR(Empoissonnement!$B12))*12+MONTH(J$3)-MONTH(Empoissonnement!$B12)+1,"M1","M2-ventes","M3-ventes"))</f>
        <v/>
      </c>
      <c r="K12" s="26" t="str">
        <f>IF(OR((YEAR(K$3)-YEAR(Empoissonnement!$B12))*12+MONTH(K$3)-MONTH(Empoissonnement!$B12)&lt;0,(YEAR(K$3)-YEAR(Empoissonnement!$B12))*12+MONTH(K$3)-MONTH(Empoissonnement!$B12)&gt;2),"",CHOOSE((YEAR(K$3)-YEAR(Empoissonnement!$B12))*12+MONTH(K$3)-MONTH(Empoissonnement!$B12)+1,"M1","M2-ventes","M3-ventes"))</f>
        <v>M1</v>
      </c>
      <c r="L12" s="26" t="str">
        <f>IF(OR((YEAR(L$3)-YEAR(Empoissonnement!$B12))*12+MONTH(L$3)-MONTH(Empoissonnement!$B12)&lt;0,(YEAR(L$3)-YEAR(Empoissonnement!$B12))*12+MONTH(L$3)-MONTH(Empoissonnement!$B12)&gt;2),"",CHOOSE((YEAR(L$3)-YEAR(Empoissonnement!$B12))*12+MONTH(L$3)-MONTH(Empoissonnement!$B12)+1,"M1","M2-ventes","M3-ventes"))</f>
        <v>M2-ventes</v>
      </c>
      <c r="M12" s="26" t="str">
        <f>IF(OR((YEAR(M$3)-YEAR(Empoissonnement!$B12))*12+MONTH(M$3)-MONTH(Empoissonnement!$B12)&lt;0,(YEAR(M$3)-YEAR(Empoissonnement!$B12))*12+MONTH(M$3)-MONTH(Empoissonnement!$B12)&gt;2),"",CHOOSE((YEAR(M$3)-YEAR(Empoissonnement!$B12))*12+MONTH(M$3)-MONTH(Empoissonnement!$B12)+1,"M1","M2-ventes","M3-ventes"))</f>
        <v>M3-ventes</v>
      </c>
      <c r="N12" s="26" t="str">
        <f>IF(OR((YEAR(N$3)-YEAR(Empoissonnement!$B12))*12+MONTH(N$3)-MONTH(Empoissonnement!$B12)&lt;0,(YEAR(N$3)-YEAR(Empoissonnement!$B12))*12+MONTH(N$3)-MONTH(Empoissonnement!$B12)&gt;2),"",CHOOSE((YEAR(N$3)-YEAR(Empoissonnement!$B12))*12+MONTH(N$3)-MONTH(Empoissonnement!$B12)+1,"M1","M2-ventes","M3-ventes"))</f>
        <v/>
      </c>
      <c r="O12" s="26" t="str">
        <f>IF(OR((YEAR(O$3)-YEAR(Empoissonnement!$B12))*12+MONTH(O$3)-MONTH(Empoissonnement!$B12)&lt;0,(YEAR(O$3)-YEAR(Empoissonnement!$B12))*12+MONTH(O$3)-MONTH(Empoissonnement!$B12)&gt;2),"",CHOOSE((YEAR(O$3)-YEAR(Empoissonnement!$B12))*12+MONTH(O$3)-MONTH(Empoissonnement!$B12)+1,"M1","M2-ventes","M3-ventes"))</f>
        <v/>
      </c>
      <c r="P12" s="26" t="str">
        <f>IF(OR((YEAR(P$3)-YEAR(Empoissonnement!$B12))*12+MONTH(P$3)-MONTH(Empoissonnement!$B12)&lt;0,(YEAR(P$3)-YEAR(Empoissonnement!$B12))*12+MONTH(P$3)-MONTH(Empoissonnement!$B12)&gt;2),"",CHOOSE((YEAR(P$3)-YEAR(Empoissonnement!$B12))*12+MONTH(P$3)-MONTH(Empoissonnement!$B12)+1,"M1","M2-ventes","M3-ventes"))</f>
        <v/>
      </c>
      <c r="Q12" s="26" t="str">
        <f>IF(OR((YEAR(Q$3)-YEAR(Empoissonnement!$B12))*12+MONTH(Q$3)-MONTH(Empoissonnement!$B12)&lt;0,(YEAR(Q$3)-YEAR(Empoissonnement!$B12))*12+MONTH(Q$3)-MONTH(Empoissonnement!$B12)&gt;2),"",CHOOSE((YEAR(Q$3)-YEAR(Empoissonnement!$B12))*12+MONTH(Q$3)-MONTH(Empoissonnement!$B12)+1,"M1","M2-ventes","M3-ventes"))</f>
        <v/>
      </c>
      <c r="R12" s="26" t="str">
        <f>IF(OR((YEAR(R$3)-YEAR(Empoissonnement!$B12))*12+MONTH(R$3)-MONTH(Empoissonnement!$B12)&lt;0,(YEAR(R$3)-YEAR(Empoissonnement!$B12))*12+MONTH(R$3)-MONTH(Empoissonnement!$B12)&gt;2),"",CHOOSE((YEAR(R$3)-YEAR(Empoissonnement!$B12))*12+MONTH(R$3)-MONTH(Empoissonnement!$B12)+1,"M1","M2-ventes","M3-ventes"))</f>
        <v/>
      </c>
      <c r="S12" s="26" t="str">
        <f>IF(OR((YEAR(S$3)-YEAR(Empoissonnement!$B12))*12+MONTH(S$3)-MONTH(Empoissonnement!$B12)&lt;0,(YEAR(S$3)-YEAR(Empoissonnement!$B12))*12+MONTH(S$3)-MONTH(Empoissonnement!$B12)&gt;2),"",CHOOSE((YEAR(S$3)-YEAR(Empoissonnement!$B12))*12+MONTH(S$3)-MONTH(Empoissonnement!$B12)+1,"M1","M2-ventes","M3-ventes"))</f>
        <v/>
      </c>
      <c r="T12" s="26" t="str">
        <f>IF(OR((YEAR(T$3)-YEAR(Empoissonnement!$B12))*12+MONTH(T$3)-MONTH(Empoissonnement!$B12)&lt;0,(YEAR(T$3)-YEAR(Empoissonnement!$B12))*12+MONTH(T$3)-MONTH(Empoissonnement!$B12)&gt;2),"",CHOOSE((YEAR(T$3)-YEAR(Empoissonnement!$B12))*12+MONTH(T$3)-MONTH(Empoissonnement!$B12)+1,"M1","M2-ventes","M3-ventes"))</f>
        <v/>
      </c>
      <c r="U12" s="26" t="str">
        <f>IF(OR((YEAR(U$3)-YEAR(Empoissonnement!$B12))*12+MONTH(U$3)-MONTH(Empoissonnement!$B12)&lt;0,(YEAR(U$3)-YEAR(Empoissonnement!$B12))*12+MONTH(U$3)-MONTH(Empoissonnement!$B12)&gt;2),"",CHOOSE((YEAR(U$3)-YEAR(Empoissonnement!$B12))*12+MONTH(U$3)-MONTH(Empoissonnement!$B12)+1,"M1","M2-ventes","M3-ventes"))</f>
        <v/>
      </c>
      <c r="V12" s="26" t="str">
        <f>IF(OR((YEAR(V$3)-YEAR(Empoissonnement!$B12))*12+MONTH(V$3)-MONTH(Empoissonnement!$B12)&lt;0,(YEAR(V$3)-YEAR(Empoissonnement!$B12))*12+MONTH(V$3)-MONTH(Empoissonnement!$B12)&gt;2),"",CHOOSE((YEAR(V$3)-YEAR(Empoissonnement!$B12))*12+MONTH(V$3)-MONTH(Empoissonnement!$B12)+1,"M1","M2-ventes","M3-ventes"))</f>
        <v/>
      </c>
      <c r="W12" s="26" t="str">
        <f>IF(OR((YEAR(W$3)-YEAR(Empoissonnement!$B12))*12+MONTH(W$3)-MONTH(Empoissonnement!$B12)&lt;0,(YEAR(W$3)-YEAR(Empoissonnement!$B12))*12+MONTH(W$3)-MONTH(Empoissonnement!$B12)&gt;2),"",CHOOSE((YEAR(W$3)-YEAR(Empoissonnement!$B12))*12+MONTH(W$3)-MONTH(Empoissonnement!$B12)+1,"M1","M2-ventes","M3-ventes"))</f>
        <v/>
      </c>
    </row>
    <row r="13" spans="1:23" x14ac:dyDescent="0.2">
      <c r="A13" s="21" t="str">
        <f>Empoissonnement!A13</f>
        <v>V10</v>
      </c>
      <c r="B13" s="22">
        <f>Empoissonnement!C13</f>
        <v>15</v>
      </c>
      <c r="C13" s="26" t="str">
        <f>IF(OR((YEAR(C$3)-YEAR(Empoissonnement!$B13))*12+MONTH(C$3)-MONTH(Empoissonnement!$B13)&lt;0,(YEAR(C$3)-YEAR(Empoissonnement!$B13))*12+MONTH(C$3)-MONTH(Empoissonnement!$B13)&gt;2),"",CHOOSE((YEAR(C$3)-YEAR(Empoissonnement!$B13))*12+MONTH(C$3)-MONTH(Empoissonnement!$B13)+1,"M1","M2-ventes","M3-ventes"))</f>
        <v/>
      </c>
      <c r="D13" s="26" t="str">
        <f>IF(OR((YEAR(D$3)-YEAR(Empoissonnement!$B13))*12+MONTH(D$3)-MONTH(Empoissonnement!$B13)&lt;0,(YEAR(D$3)-YEAR(Empoissonnement!$B13))*12+MONTH(D$3)-MONTH(Empoissonnement!$B13)&gt;2),"",CHOOSE((YEAR(D$3)-YEAR(Empoissonnement!$B13))*12+MONTH(D$3)-MONTH(Empoissonnement!$B13)+1,"M1","M2-ventes","M3-ventes"))</f>
        <v/>
      </c>
      <c r="E13" s="26" t="str">
        <f>IF(OR((YEAR(E$3)-YEAR(Empoissonnement!$B13))*12+MONTH(E$3)-MONTH(Empoissonnement!$B13)&lt;0,(YEAR(E$3)-YEAR(Empoissonnement!$B13))*12+MONTH(E$3)-MONTH(Empoissonnement!$B13)&gt;2),"",CHOOSE((YEAR(E$3)-YEAR(Empoissonnement!$B13))*12+MONTH(E$3)-MONTH(Empoissonnement!$B13)+1,"M1","M2-ventes","M3-ventes"))</f>
        <v/>
      </c>
      <c r="F13" s="26" t="str">
        <f>IF(OR((YEAR(F$3)-YEAR(Empoissonnement!$B13))*12+MONTH(F$3)-MONTH(Empoissonnement!$B13)&lt;0,(YEAR(F$3)-YEAR(Empoissonnement!$B13))*12+MONTH(F$3)-MONTH(Empoissonnement!$B13)&gt;2),"",CHOOSE((YEAR(F$3)-YEAR(Empoissonnement!$B13))*12+MONTH(F$3)-MONTH(Empoissonnement!$B13)+1,"M1","M2-ventes","M3-ventes"))</f>
        <v/>
      </c>
      <c r="G13" s="26" t="str">
        <f>IF(OR((YEAR(G$3)-YEAR(Empoissonnement!$B13))*12+MONTH(G$3)-MONTH(Empoissonnement!$B13)&lt;0,(YEAR(G$3)-YEAR(Empoissonnement!$B13))*12+MONTH(G$3)-MONTH(Empoissonnement!$B13)&gt;2),"",CHOOSE((YEAR(G$3)-YEAR(Empoissonnement!$B13))*12+MONTH(G$3)-MONTH(Empoissonnement!$B13)+1,"M1","M2-ventes","M3-ventes"))</f>
        <v/>
      </c>
      <c r="H13" s="26" t="str">
        <f>IF(OR((YEAR(H$3)-YEAR(Empoissonnement!$B13))*12+MONTH(H$3)-MONTH(Empoissonnement!$B13)&lt;0,(YEAR(H$3)-YEAR(Empoissonnement!$B13))*12+MONTH(H$3)-MONTH(Empoissonnement!$B13)&gt;2),"",CHOOSE((YEAR(H$3)-YEAR(Empoissonnement!$B13))*12+MONTH(H$3)-MONTH(Empoissonnement!$B13)+1,"M1","M2-ventes","M3-ventes"))</f>
        <v/>
      </c>
      <c r="I13" s="26" t="str">
        <f>IF(OR((YEAR(I$3)-YEAR(Empoissonnement!$B13))*12+MONTH(I$3)-MONTH(Empoissonnement!$B13)&lt;0,(YEAR(I$3)-YEAR(Empoissonnement!$B13))*12+MONTH(I$3)-MONTH(Empoissonnement!$B13)&gt;2),"",CHOOSE((YEAR(I$3)-YEAR(Empoissonnement!$B13))*12+MONTH(I$3)-MONTH(Empoissonnement!$B13)+1,"M1","M2-ventes","M3-ventes"))</f>
        <v/>
      </c>
      <c r="J13" s="26" t="str">
        <f>IF(OR((YEAR(J$3)-YEAR(Empoissonnement!$B13))*12+MONTH(J$3)-MONTH(Empoissonnement!$B13)&lt;0,(YEAR(J$3)-YEAR(Empoissonnement!$B13))*12+MONTH(J$3)-MONTH(Empoissonnement!$B13)&gt;2),"",CHOOSE((YEAR(J$3)-YEAR(Empoissonnement!$B13))*12+MONTH(J$3)-MONTH(Empoissonnement!$B13)+1,"M1","M2-ventes","M3-ventes"))</f>
        <v/>
      </c>
      <c r="K13" s="26" t="str">
        <f>IF(OR((YEAR(K$3)-YEAR(Empoissonnement!$B13))*12+MONTH(K$3)-MONTH(Empoissonnement!$B13)&lt;0,(YEAR(K$3)-YEAR(Empoissonnement!$B13))*12+MONTH(K$3)-MONTH(Empoissonnement!$B13)&gt;2),"",CHOOSE((YEAR(K$3)-YEAR(Empoissonnement!$B13))*12+MONTH(K$3)-MONTH(Empoissonnement!$B13)+1,"M1","M2-ventes","M3-ventes"))</f>
        <v/>
      </c>
      <c r="L13" s="26" t="str">
        <f>IF(OR((YEAR(L$3)-YEAR(Empoissonnement!$B13))*12+MONTH(L$3)-MONTH(Empoissonnement!$B13)&lt;0,(YEAR(L$3)-YEAR(Empoissonnement!$B13))*12+MONTH(L$3)-MONTH(Empoissonnement!$B13)&gt;2),"",CHOOSE((YEAR(L$3)-YEAR(Empoissonnement!$B13))*12+MONTH(L$3)-MONTH(Empoissonnement!$B13)+1,"M1","M2-ventes","M3-ventes"))</f>
        <v>M1</v>
      </c>
      <c r="M13" s="26" t="str">
        <f>IF(OR((YEAR(M$3)-YEAR(Empoissonnement!$B13))*12+MONTH(M$3)-MONTH(Empoissonnement!$B13)&lt;0,(YEAR(M$3)-YEAR(Empoissonnement!$B13))*12+MONTH(M$3)-MONTH(Empoissonnement!$B13)&gt;2),"",CHOOSE((YEAR(M$3)-YEAR(Empoissonnement!$B13))*12+MONTH(M$3)-MONTH(Empoissonnement!$B13)+1,"M1","M2-ventes","M3-ventes"))</f>
        <v>M2-ventes</v>
      </c>
      <c r="N13" s="26" t="str">
        <f>IF(OR((YEAR(N$3)-YEAR(Empoissonnement!$B13))*12+MONTH(N$3)-MONTH(Empoissonnement!$B13)&lt;0,(YEAR(N$3)-YEAR(Empoissonnement!$B13))*12+MONTH(N$3)-MONTH(Empoissonnement!$B13)&gt;2),"",CHOOSE((YEAR(N$3)-YEAR(Empoissonnement!$B13))*12+MONTH(N$3)-MONTH(Empoissonnement!$B13)+1,"M1","M2-ventes","M3-ventes"))</f>
        <v>M3-ventes</v>
      </c>
      <c r="O13" s="26" t="str">
        <f>IF(OR((YEAR(O$3)-YEAR(Empoissonnement!$B13))*12+MONTH(O$3)-MONTH(Empoissonnement!$B13)&lt;0,(YEAR(O$3)-YEAR(Empoissonnement!$B13))*12+MONTH(O$3)-MONTH(Empoissonnement!$B13)&gt;2),"",CHOOSE((YEAR(O$3)-YEAR(Empoissonnement!$B13))*12+MONTH(O$3)-MONTH(Empoissonnement!$B13)+1,"M1","M2-ventes","M3-ventes"))</f>
        <v/>
      </c>
      <c r="P13" s="26" t="str">
        <f>IF(OR((YEAR(P$3)-YEAR(Empoissonnement!$B13))*12+MONTH(P$3)-MONTH(Empoissonnement!$B13)&lt;0,(YEAR(P$3)-YEAR(Empoissonnement!$B13))*12+MONTH(P$3)-MONTH(Empoissonnement!$B13)&gt;2),"",CHOOSE((YEAR(P$3)-YEAR(Empoissonnement!$B13))*12+MONTH(P$3)-MONTH(Empoissonnement!$B13)+1,"M1","M2-ventes","M3-ventes"))</f>
        <v/>
      </c>
      <c r="Q13" s="26" t="str">
        <f>IF(OR((YEAR(Q$3)-YEAR(Empoissonnement!$B13))*12+MONTH(Q$3)-MONTH(Empoissonnement!$B13)&lt;0,(YEAR(Q$3)-YEAR(Empoissonnement!$B13))*12+MONTH(Q$3)-MONTH(Empoissonnement!$B13)&gt;2),"",CHOOSE((YEAR(Q$3)-YEAR(Empoissonnement!$B13))*12+MONTH(Q$3)-MONTH(Empoissonnement!$B13)+1,"M1","M2-ventes","M3-ventes"))</f>
        <v/>
      </c>
      <c r="R13" s="26" t="str">
        <f>IF(OR((YEAR(R$3)-YEAR(Empoissonnement!$B13))*12+MONTH(R$3)-MONTH(Empoissonnement!$B13)&lt;0,(YEAR(R$3)-YEAR(Empoissonnement!$B13))*12+MONTH(R$3)-MONTH(Empoissonnement!$B13)&gt;2),"",CHOOSE((YEAR(R$3)-YEAR(Empoissonnement!$B13))*12+MONTH(R$3)-MONTH(Empoissonnement!$B13)+1,"M1","M2-ventes","M3-ventes"))</f>
        <v/>
      </c>
      <c r="S13" s="26" t="str">
        <f>IF(OR((YEAR(S$3)-YEAR(Empoissonnement!$B13))*12+MONTH(S$3)-MONTH(Empoissonnement!$B13)&lt;0,(YEAR(S$3)-YEAR(Empoissonnement!$B13))*12+MONTH(S$3)-MONTH(Empoissonnement!$B13)&gt;2),"",CHOOSE((YEAR(S$3)-YEAR(Empoissonnement!$B13))*12+MONTH(S$3)-MONTH(Empoissonnement!$B13)+1,"M1","M2-ventes","M3-ventes"))</f>
        <v/>
      </c>
      <c r="T13" s="26" t="str">
        <f>IF(OR((YEAR(T$3)-YEAR(Empoissonnement!$B13))*12+MONTH(T$3)-MONTH(Empoissonnement!$B13)&lt;0,(YEAR(T$3)-YEAR(Empoissonnement!$B13))*12+MONTH(T$3)-MONTH(Empoissonnement!$B13)&gt;2),"",CHOOSE((YEAR(T$3)-YEAR(Empoissonnement!$B13))*12+MONTH(T$3)-MONTH(Empoissonnement!$B13)+1,"M1","M2-ventes","M3-ventes"))</f>
        <v/>
      </c>
      <c r="U13" s="26" t="str">
        <f>IF(OR((YEAR(U$3)-YEAR(Empoissonnement!$B13))*12+MONTH(U$3)-MONTH(Empoissonnement!$B13)&lt;0,(YEAR(U$3)-YEAR(Empoissonnement!$B13))*12+MONTH(U$3)-MONTH(Empoissonnement!$B13)&gt;2),"",CHOOSE((YEAR(U$3)-YEAR(Empoissonnement!$B13))*12+MONTH(U$3)-MONTH(Empoissonnement!$B13)+1,"M1","M2-ventes","M3-ventes"))</f>
        <v/>
      </c>
      <c r="V13" s="26" t="str">
        <f>IF(OR((YEAR(V$3)-YEAR(Empoissonnement!$B13))*12+MONTH(V$3)-MONTH(Empoissonnement!$B13)&lt;0,(YEAR(V$3)-YEAR(Empoissonnement!$B13))*12+MONTH(V$3)-MONTH(Empoissonnement!$B13)&gt;2),"",CHOOSE((YEAR(V$3)-YEAR(Empoissonnement!$B13))*12+MONTH(V$3)-MONTH(Empoissonnement!$B13)+1,"M1","M2-ventes","M3-ventes"))</f>
        <v/>
      </c>
      <c r="W13" s="26" t="str">
        <f>IF(OR((YEAR(W$3)-YEAR(Empoissonnement!$B13))*12+MONTH(W$3)-MONTH(Empoissonnement!$B13)&lt;0,(YEAR(W$3)-YEAR(Empoissonnement!$B13))*12+MONTH(W$3)-MONTH(Empoissonnement!$B13)&gt;2),"",CHOOSE((YEAR(W$3)-YEAR(Empoissonnement!$B13))*12+MONTH(W$3)-MONTH(Empoissonnement!$B13)+1,"M1","M2-ventes","M3-ventes"))</f>
        <v/>
      </c>
    </row>
    <row r="14" spans="1:23" x14ac:dyDescent="0.2">
      <c r="A14" s="21" t="str">
        <f>Empoissonnement!A14</f>
        <v>V11</v>
      </c>
      <c r="B14" s="22">
        <f>Empoissonnement!C14</f>
        <v>15</v>
      </c>
      <c r="C14" s="26" t="str">
        <f>IF(OR((YEAR(C$3)-YEAR(Empoissonnement!$B14))*12+MONTH(C$3)-MONTH(Empoissonnement!$B14)&lt;0,(YEAR(C$3)-YEAR(Empoissonnement!$B14))*12+MONTH(C$3)-MONTH(Empoissonnement!$B14)&gt;2),"",CHOOSE((YEAR(C$3)-YEAR(Empoissonnement!$B14))*12+MONTH(C$3)-MONTH(Empoissonnement!$B14)+1,"M1","M2-ventes","M3-ventes"))</f>
        <v/>
      </c>
      <c r="D14" s="26" t="str">
        <f>IF(OR((YEAR(D$3)-YEAR(Empoissonnement!$B14))*12+MONTH(D$3)-MONTH(Empoissonnement!$B14)&lt;0,(YEAR(D$3)-YEAR(Empoissonnement!$B14))*12+MONTH(D$3)-MONTH(Empoissonnement!$B14)&gt;2),"",CHOOSE((YEAR(D$3)-YEAR(Empoissonnement!$B14))*12+MONTH(D$3)-MONTH(Empoissonnement!$B14)+1,"M1","M2-ventes","M3-ventes"))</f>
        <v/>
      </c>
      <c r="E14" s="26" t="str">
        <f>IF(OR((YEAR(E$3)-YEAR(Empoissonnement!$B14))*12+MONTH(E$3)-MONTH(Empoissonnement!$B14)&lt;0,(YEAR(E$3)-YEAR(Empoissonnement!$B14))*12+MONTH(E$3)-MONTH(Empoissonnement!$B14)&gt;2),"",CHOOSE((YEAR(E$3)-YEAR(Empoissonnement!$B14))*12+MONTH(E$3)-MONTH(Empoissonnement!$B14)+1,"M1","M2-ventes","M3-ventes"))</f>
        <v/>
      </c>
      <c r="F14" s="26" t="str">
        <f>IF(OR((YEAR(F$3)-YEAR(Empoissonnement!$B14))*12+MONTH(F$3)-MONTH(Empoissonnement!$B14)&lt;0,(YEAR(F$3)-YEAR(Empoissonnement!$B14))*12+MONTH(F$3)-MONTH(Empoissonnement!$B14)&gt;2),"",CHOOSE((YEAR(F$3)-YEAR(Empoissonnement!$B14))*12+MONTH(F$3)-MONTH(Empoissonnement!$B14)+1,"M1","M2-ventes","M3-ventes"))</f>
        <v/>
      </c>
      <c r="G14" s="26" t="str">
        <f>IF(OR((YEAR(G$3)-YEAR(Empoissonnement!$B14))*12+MONTH(G$3)-MONTH(Empoissonnement!$B14)&lt;0,(YEAR(G$3)-YEAR(Empoissonnement!$B14))*12+MONTH(G$3)-MONTH(Empoissonnement!$B14)&gt;2),"",CHOOSE((YEAR(G$3)-YEAR(Empoissonnement!$B14))*12+MONTH(G$3)-MONTH(Empoissonnement!$B14)+1,"M1","M2-ventes","M3-ventes"))</f>
        <v/>
      </c>
      <c r="H14" s="26" t="str">
        <f>IF(OR((YEAR(H$3)-YEAR(Empoissonnement!$B14))*12+MONTH(H$3)-MONTH(Empoissonnement!$B14)&lt;0,(YEAR(H$3)-YEAR(Empoissonnement!$B14))*12+MONTH(H$3)-MONTH(Empoissonnement!$B14)&gt;2),"",CHOOSE((YEAR(H$3)-YEAR(Empoissonnement!$B14))*12+MONTH(H$3)-MONTH(Empoissonnement!$B14)+1,"M1","M2-ventes","M3-ventes"))</f>
        <v/>
      </c>
      <c r="I14" s="26" t="str">
        <f>IF(OR((YEAR(I$3)-YEAR(Empoissonnement!$B14))*12+MONTH(I$3)-MONTH(Empoissonnement!$B14)&lt;0,(YEAR(I$3)-YEAR(Empoissonnement!$B14))*12+MONTH(I$3)-MONTH(Empoissonnement!$B14)&gt;2),"",CHOOSE((YEAR(I$3)-YEAR(Empoissonnement!$B14))*12+MONTH(I$3)-MONTH(Empoissonnement!$B14)+1,"M1","M2-ventes","M3-ventes"))</f>
        <v/>
      </c>
      <c r="J14" s="26" t="str">
        <f>IF(OR((YEAR(J$3)-YEAR(Empoissonnement!$B14))*12+MONTH(J$3)-MONTH(Empoissonnement!$B14)&lt;0,(YEAR(J$3)-YEAR(Empoissonnement!$B14))*12+MONTH(J$3)-MONTH(Empoissonnement!$B14)&gt;2),"",CHOOSE((YEAR(J$3)-YEAR(Empoissonnement!$B14))*12+MONTH(J$3)-MONTH(Empoissonnement!$B14)+1,"M1","M2-ventes","M3-ventes"))</f>
        <v/>
      </c>
      <c r="K14" s="26" t="str">
        <f>IF(OR((YEAR(K$3)-YEAR(Empoissonnement!$B14))*12+MONTH(K$3)-MONTH(Empoissonnement!$B14)&lt;0,(YEAR(K$3)-YEAR(Empoissonnement!$B14))*12+MONTH(K$3)-MONTH(Empoissonnement!$B14)&gt;2),"",CHOOSE((YEAR(K$3)-YEAR(Empoissonnement!$B14))*12+MONTH(K$3)-MONTH(Empoissonnement!$B14)+1,"M1","M2-ventes","M3-ventes"))</f>
        <v/>
      </c>
      <c r="L14" s="26" t="str">
        <f>IF(OR((YEAR(L$3)-YEAR(Empoissonnement!$B14))*12+MONTH(L$3)-MONTH(Empoissonnement!$B14)&lt;0,(YEAR(L$3)-YEAR(Empoissonnement!$B14))*12+MONTH(L$3)-MONTH(Empoissonnement!$B14)&gt;2),"",CHOOSE((YEAR(L$3)-YEAR(Empoissonnement!$B14))*12+MONTH(L$3)-MONTH(Empoissonnement!$B14)+1,"M1","M2-ventes","M3-ventes"))</f>
        <v/>
      </c>
      <c r="M14" s="26" t="str">
        <f>IF(OR((YEAR(M$3)-YEAR(Empoissonnement!$B14))*12+MONTH(M$3)-MONTH(Empoissonnement!$B14)&lt;0,(YEAR(M$3)-YEAR(Empoissonnement!$B14))*12+MONTH(M$3)-MONTH(Empoissonnement!$B14)&gt;2),"",CHOOSE((YEAR(M$3)-YEAR(Empoissonnement!$B14))*12+MONTH(M$3)-MONTH(Empoissonnement!$B14)+1,"M1","M2-ventes","M3-ventes"))</f>
        <v>M1</v>
      </c>
      <c r="N14" s="26" t="str">
        <f>IF(OR((YEAR(N$3)-YEAR(Empoissonnement!$B14))*12+MONTH(N$3)-MONTH(Empoissonnement!$B14)&lt;0,(YEAR(N$3)-YEAR(Empoissonnement!$B14))*12+MONTH(N$3)-MONTH(Empoissonnement!$B14)&gt;2),"",CHOOSE((YEAR(N$3)-YEAR(Empoissonnement!$B14))*12+MONTH(N$3)-MONTH(Empoissonnement!$B14)+1,"M1","M2-ventes","M3-ventes"))</f>
        <v>M2-ventes</v>
      </c>
      <c r="O14" s="26" t="str">
        <f>IF(OR((YEAR(O$3)-YEAR(Empoissonnement!$B14))*12+MONTH(O$3)-MONTH(Empoissonnement!$B14)&lt;0,(YEAR(O$3)-YEAR(Empoissonnement!$B14))*12+MONTH(O$3)-MONTH(Empoissonnement!$B14)&gt;2),"",CHOOSE((YEAR(O$3)-YEAR(Empoissonnement!$B14))*12+MONTH(O$3)-MONTH(Empoissonnement!$B14)+1,"M1","M2-ventes","M3-ventes"))</f>
        <v>M3-ventes</v>
      </c>
      <c r="P14" s="26" t="str">
        <f>IF(OR((YEAR(P$3)-YEAR(Empoissonnement!$B14))*12+MONTH(P$3)-MONTH(Empoissonnement!$B14)&lt;0,(YEAR(P$3)-YEAR(Empoissonnement!$B14))*12+MONTH(P$3)-MONTH(Empoissonnement!$B14)&gt;2),"",CHOOSE((YEAR(P$3)-YEAR(Empoissonnement!$B14))*12+MONTH(P$3)-MONTH(Empoissonnement!$B14)+1,"M1","M2-ventes","M3-ventes"))</f>
        <v/>
      </c>
      <c r="Q14" s="26" t="str">
        <f>IF(OR((YEAR(Q$3)-YEAR(Empoissonnement!$B14))*12+MONTH(Q$3)-MONTH(Empoissonnement!$B14)&lt;0,(YEAR(Q$3)-YEAR(Empoissonnement!$B14))*12+MONTH(Q$3)-MONTH(Empoissonnement!$B14)&gt;2),"",CHOOSE((YEAR(Q$3)-YEAR(Empoissonnement!$B14))*12+MONTH(Q$3)-MONTH(Empoissonnement!$B14)+1,"M1","M2-ventes","M3-ventes"))</f>
        <v/>
      </c>
      <c r="R14" s="26" t="str">
        <f>IF(OR((YEAR(R$3)-YEAR(Empoissonnement!$B14))*12+MONTH(R$3)-MONTH(Empoissonnement!$B14)&lt;0,(YEAR(R$3)-YEAR(Empoissonnement!$B14))*12+MONTH(R$3)-MONTH(Empoissonnement!$B14)&gt;2),"",CHOOSE((YEAR(R$3)-YEAR(Empoissonnement!$B14))*12+MONTH(R$3)-MONTH(Empoissonnement!$B14)+1,"M1","M2-ventes","M3-ventes"))</f>
        <v/>
      </c>
      <c r="S14" s="26" t="str">
        <f>IF(OR((YEAR(S$3)-YEAR(Empoissonnement!$B14))*12+MONTH(S$3)-MONTH(Empoissonnement!$B14)&lt;0,(YEAR(S$3)-YEAR(Empoissonnement!$B14))*12+MONTH(S$3)-MONTH(Empoissonnement!$B14)&gt;2),"",CHOOSE((YEAR(S$3)-YEAR(Empoissonnement!$B14))*12+MONTH(S$3)-MONTH(Empoissonnement!$B14)+1,"M1","M2-ventes","M3-ventes"))</f>
        <v/>
      </c>
      <c r="T14" s="26" t="str">
        <f>IF(OR((YEAR(T$3)-YEAR(Empoissonnement!$B14))*12+MONTH(T$3)-MONTH(Empoissonnement!$B14)&lt;0,(YEAR(T$3)-YEAR(Empoissonnement!$B14))*12+MONTH(T$3)-MONTH(Empoissonnement!$B14)&gt;2),"",CHOOSE((YEAR(T$3)-YEAR(Empoissonnement!$B14))*12+MONTH(T$3)-MONTH(Empoissonnement!$B14)+1,"M1","M2-ventes","M3-ventes"))</f>
        <v/>
      </c>
      <c r="U14" s="26" t="str">
        <f>IF(OR((YEAR(U$3)-YEAR(Empoissonnement!$B14))*12+MONTH(U$3)-MONTH(Empoissonnement!$B14)&lt;0,(YEAR(U$3)-YEAR(Empoissonnement!$B14))*12+MONTH(U$3)-MONTH(Empoissonnement!$B14)&gt;2),"",CHOOSE((YEAR(U$3)-YEAR(Empoissonnement!$B14))*12+MONTH(U$3)-MONTH(Empoissonnement!$B14)+1,"M1","M2-ventes","M3-ventes"))</f>
        <v/>
      </c>
      <c r="V14" s="26" t="str">
        <f>IF(OR((YEAR(V$3)-YEAR(Empoissonnement!$B14))*12+MONTH(V$3)-MONTH(Empoissonnement!$B14)&lt;0,(YEAR(V$3)-YEAR(Empoissonnement!$B14))*12+MONTH(V$3)-MONTH(Empoissonnement!$B14)&gt;2),"",CHOOSE((YEAR(V$3)-YEAR(Empoissonnement!$B14))*12+MONTH(V$3)-MONTH(Empoissonnement!$B14)+1,"M1","M2-ventes","M3-ventes"))</f>
        <v/>
      </c>
      <c r="W14" s="26" t="str">
        <f>IF(OR((YEAR(W$3)-YEAR(Empoissonnement!$B14))*12+MONTH(W$3)-MONTH(Empoissonnement!$B14)&lt;0,(YEAR(W$3)-YEAR(Empoissonnement!$B14))*12+MONTH(W$3)-MONTH(Empoissonnement!$B14)&gt;2),"",CHOOSE((YEAR(W$3)-YEAR(Empoissonnement!$B14))*12+MONTH(W$3)-MONTH(Empoissonnement!$B14)+1,"M1","M2-ventes","M3-ventes"))</f>
        <v/>
      </c>
    </row>
    <row r="15" spans="1:23" x14ac:dyDescent="0.2">
      <c r="A15" s="21" t="str">
        <f>Empoissonnement!A15</f>
        <v>V12</v>
      </c>
      <c r="B15" s="22">
        <f>Empoissonnement!C15</f>
        <v>15</v>
      </c>
      <c r="C15" s="26" t="str">
        <f>IF(OR((YEAR(C$3)-YEAR(Empoissonnement!$B15))*12+MONTH(C$3)-MONTH(Empoissonnement!$B15)&lt;0,(YEAR(C$3)-YEAR(Empoissonnement!$B15))*12+MONTH(C$3)-MONTH(Empoissonnement!$B15)&gt;2),"",CHOOSE((YEAR(C$3)-YEAR(Empoissonnement!$B15))*12+MONTH(C$3)-MONTH(Empoissonnement!$B15)+1,"M1","M2-ventes","M3-ventes"))</f>
        <v/>
      </c>
      <c r="D15" s="26" t="str">
        <f>IF(OR((YEAR(D$3)-YEAR(Empoissonnement!$B15))*12+MONTH(D$3)-MONTH(Empoissonnement!$B15)&lt;0,(YEAR(D$3)-YEAR(Empoissonnement!$B15))*12+MONTH(D$3)-MONTH(Empoissonnement!$B15)&gt;2),"",CHOOSE((YEAR(D$3)-YEAR(Empoissonnement!$B15))*12+MONTH(D$3)-MONTH(Empoissonnement!$B15)+1,"M1","M2-ventes","M3-ventes"))</f>
        <v/>
      </c>
      <c r="E15" s="26" t="str">
        <f>IF(OR((YEAR(E$3)-YEAR(Empoissonnement!$B15))*12+MONTH(E$3)-MONTH(Empoissonnement!$B15)&lt;0,(YEAR(E$3)-YEAR(Empoissonnement!$B15))*12+MONTH(E$3)-MONTH(Empoissonnement!$B15)&gt;2),"",CHOOSE((YEAR(E$3)-YEAR(Empoissonnement!$B15))*12+MONTH(E$3)-MONTH(Empoissonnement!$B15)+1,"M1","M2-ventes","M3-ventes"))</f>
        <v/>
      </c>
      <c r="F15" s="26" t="str">
        <f>IF(OR((YEAR(F$3)-YEAR(Empoissonnement!$B15))*12+MONTH(F$3)-MONTH(Empoissonnement!$B15)&lt;0,(YEAR(F$3)-YEAR(Empoissonnement!$B15))*12+MONTH(F$3)-MONTH(Empoissonnement!$B15)&gt;2),"",CHOOSE((YEAR(F$3)-YEAR(Empoissonnement!$B15))*12+MONTH(F$3)-MONTH(Empoissonnement!$B15)+1,"M1","M2-ventes","M3-ventes"))</f>
        <v/>
      </c>
      <c r="G15" s="26" t="str">
        <f>IF(OR((YEAR(G$3)-YEAR(Empoissonnement!$B15))*12+MONTH(G$3)-MONTH(Empoissonnement!$B15)&lt;0,(YEAR(G$3)-YEAR(Empoissonnement!$B15))*12+MONTH(G$3)-MONTH(Empoissonnement!$B15)&gt;2),"",CHOOSE((YEAR(G$3)-YEAR(Empoissonnement!$B15))*12+MONTH(G$3)-MONTH(Empoissonnement!$B15)+1,"M1","M2-ventes","M3-ventes"))</f>
        <v/>
      </c>
      <c r="H15" s="26" t="str">
        <f>IF(OR((YEAR(H$3)-YEAR(Empoissonnement!$B15))*12+MONTH(H$3)-MONTH(Empoissonnement!$B15)&lt;0,(YEAR(H$3)-YEAR(Empoissonnement!$B15))*12+MONTH(H$3)-MONTH(Empoissonnement!$B15)&gt;2),"",CHOOSE((YEAR(H$3)-YEAR(Empoissonnement!$B15))*12+MONTH(H$3)-MONTH(Empoissonnement!$B15)+1,"M1","M2-ventes","M3-ventes"))</f>
        <v/>
      </c>
      <c r="I15" s="26" t="str">
        <f>IF(OR((YEAR(I$3)-YEAR(Empoissonnement!$B15))*12+MONTH(I$3)-MONTH(Empoissonnement!$B15)&lt;0,(YEAR(I$3)-YEAR(Empoissonnement!$B15))*12+MONTH(I$3)-MONTH(Empoissonnement!$B15)&gt;2),"",CHOOSE((YEAR(I$3)-YEAR(Empoissonnement!$B15))*12+MONTH(I$3)-MONTH(Empoissonnement!$B15)+1,"M1","M2-ventes","M3-ventes"))</f>
        <v/>
      </c>
      <c r="J15" s="26" t="str">
        <f>IF(OR((YEAR(J$3)-YEAR(Empoissonnement!$B15))*12+MONTH(J$3)-MONTH(Empoissonnement!$B15)&lt;0,(YEAR(J$3)-YEAR(Empoissonnement!$B15))*12+MONTH(J$3)-MONTH(Empoissonnement!$B15)&gt;2),"",CHOOSE((YEAR(J$3)-YEAR(Empoissonnement!$B15))*12+MONTH(J$3)-MONTH(Empoissonnement!$B15)+1,"M1","M2-ventes","M3-ventes"))</f>
        <v/>
      </c>
      <c r="K15" s="26" t="str">
        <f>IF(OR((YEAR(K$3)-YEAR(Empoissonnement!$B15))*12+MONTH(K$3)-MONTH(Empoissonnement!$B15)&lt;0,(YEAR(K$3)-YEAR(Empoissonnement!$B15))*12+MONTH(K$3)-MONTH(Empoissonnement!$B15)&gt;2),"",CHOOSE((YEAR(K$3)-YEAR(Empoissonnement!$B15))*12+MONTH(K$3)-MONTH(Empoissonnement!$B15)+1,"M1","M2-ventes","M3-ventes"))</f>
        <v/>
      </c>
      <c r="L15" s="26" t="str">
        <f>IF(OR((YEAR(L$3)-YEAR(Empoissonnement!$B15))*12+MONTH(L$3)-MONTH(Empoissonnement!$B15)&lt;0,(YEAR(L$3)-YEAR(Empoissonnement!$B15))*12+MONTH(L$3)-MONTH(Empoissonnement!$B15)&gt;2),"",CHOOSE((YEAR(L$3)-YEAR(Empoissonnement!$B15))*12+MONTH(L$3)-MONTH(Empoissonnement!$B15)+1,"M1","M2-ventes","M3-ventes"))</f>
        <v/>
      </c>
      <c r="M15" s="26" t="str">
        <f>IF(OR((YEAR(M$3)-YEAR(Empoissonnement!$B15))*12+MONTH(M$3)-MONTH(Empoissonnement!$B15)&lt;0,(YEAR(M$3)-YEAR(Empoissonnement!$B15))*12+MONTH(M$3)-MONTH(Empoissonnement!$B15)&gt;2),"",CHOOSE((YEAR(M$3)-YEAR(Empoissonnement!$B15))*12+MONTH(M$3)-MONTH(Empoissonnement!$B15)+1,"M1","M2-ventes","M3-ventes"))</f>
        <v/>
      </c>
      <c r="N15" s="26" t="str">
        <f>IF(OR((YEAR(N$3)-YEAR(Empoissonnement!$B15))*12+MONTH(N$3)-MONTH(Empoissonnement!$B15)&lt;0,(YEAR(N$3)-YEAR(Empoissonnement!$B15))*12+MONTH(N$3)-MONTH(Empoissonnement!$B15)&gt;2),"",CHOOSE((YEAR(N$3)-YEAR(Empoissonnement!$B15))*12+MONTH(N$3)-MONTH(Empoissonnement!$B15)+1,"M1","M2-ventes","M3-ventes"))</f>
        <v>M1</v>
      </c>
      <c r="O15" s="26" t="str">
        <f>IF(OR((YEAR(O$3)-YEAR(Empoissonnement!$B15))*12+MONTH(O$3)-MONTH(Empoissonnement!$B15)&lt;0,(YEAR(O$3)-YEAR(Empoissonnement!$B15))*12+MONTH(O$3)-MONTH(Empoissonnement!$B15)&gt;2),"",CHOOSE((YEAR(O$3)-YEAR(Empoissonnement!$B15))*12+MONTH(O$3)-MONTH(Empoissonnement!$B15)+1,"M1","M2-ventes","M3-ventes"))</f>
        <v>M2-ventes</v>
      </c>
      <c r="P15" s="26" t="str">
        <f>IF(OR((YEAR(P$3)-YEAR(Empoissonnement!$B15))*12+MONTH(P$3)-MONTH(Empoissonnement!$B15)&lt;0,(YEAR(P$3)-YEAR(Empoissonnement!$B15))*12+MONTH(P$3)-MONTH(Empoissonnement!$B15)&gt;2),"",CHOOSE((YEAR(P$3)-YEAR(Empoissonnement!$B15))*12+MONTH(P$3)-MONTH(Empoissonnement!$B15)+1,"M1","M2-ventes","M3-ventes"))</f>
        <v>M3-ventes</v>
      </c>
      <c r="Q15" s="26" t="str">
        <f>IF(OR((YEAR(Q$3)-YEAR(Empoissonnement!$B15))*12+MONTH(Q$3)-MONTH(Empoissonnement!$B15)&lt;0,(YEAR(Q$3)-YEAR(Empoissonnement!$B15))*12+MONTH(Q$3)-MONTH(Empoissonnement!$B15)&gt;2),"",CHOOSE((YEAR(Q$3)-YEAR(Empoissonnement!$B15))*12+MONTH(Q$3)-MONTH(Empoissonnement!$B15)+1,"M1","M2-ventes","M3-ventes"))</f>
        <v/>
      </c>
      <c r="R15" s="26" t="str">
        <f>IF(OR((YEAR(R$3)-YEAR(Empoissonnement!$B15))*12+MONTH(R$3)-MONTH(Empoissonnement!$B15)&lt;0,(YEAR(R$3)-YEAR(Empoissonnement!$B15))*12+MONTH(R$3)-MONTH(Empoissonnement!$B15)&gt;2),"",CHOOSE((YEAR(R$3)-YEAR(Empoissonnement!$B15))*12+MONTH(R$3)-MONTH(Empoissonnement!$B15)+1,"M1","M2-ventes","M3-ventes"))</f>
        <v/>
      </c>
      <c r="S15" s="26" t="str">
        <f>IF(OR((YEAR(S$3)-YEAR(Empoissonnement!$B15))*12+MONTH(S$3)-MONTH(Empoissonnement!$B15)&lt;0,(YEAR(S$3)-YEAR(Empoissonnement!$B15))*12+MONTH(S$3)-MONTH(Empoissonnement!$B15)&gt;2),"",CHOOSE((YEAR(S$3)-YEAR(Empoissonnement!$B15))*12+MONTH(S$3)-MONTH(Empoissonnement!$B15)+1,"M1","M2-ventes","M3-ventes"))</f>
        <v/>
      </c>
      <c r="T15" s="26" t="str">
        <f>IF(OR((YEAR(T$3)-YEAR(Empoissonnement!$B15))*12+MONTH(T$3)-MONTH(Empoissonnement!$B15)&lt;0,(YEAR(T$3)-YEAR(Empoissonnement!$B15))*12+MONTH(T$3)-MONTH(Empoissonnement!$B15)&gt;2),"",CHOOSE((YEAR(T$3)-YEAR(Empoissonnement!$B15))*12+MONTH(T$3)-MONTH(Empoissonnement!$B15)+1,"M1","M2-ventes","M3-ventes"))</f>
        <v/>
      </c>
      <c r="U15" s="26" t="str">
        <f>IF(OR((YEAR(U$3)-YEAR(Empoissonnement!$B15))*12+MONTH(U$3)-MONTH(Empoissonnement!$B15)&lt;0,(YEAR(U$3)-YEAR(Empoissonnement!$B15))*12+MONTH(U$3)-MONTH(Empoissonnement!$B15)&gt;2),"",CHOOSE((YEAR(U$3)-YEAR(Empoissonnement!$B15))*12+MONTH(U$3)-MONTH(Empoissonnement!$B15)+1,"M1","M2-ventes","M3-ventes"))</f>
        <v/>
      </c>
      <c r="V15" s="26" t="str">
        <f>IF(OR((YEAR(V$3)-YEAR(Empoissonnement!$B15))*12+MONTH(V$3)-MONTH(Empoissonnement!$B15)&lt;0,(YEAR(V$3)-YEAR(Empoissonnement!$B15))*12+MONTH(V$3)-MONTH(Empoissonnement!$B15)&gt;2),"",CHOOSE((YEAR(V$3)-YEAR(Empoissonnement!$B15))*12+MONTH(V$3)-MONTH(Empoissonnement!$B15)+1,"M1","M2-ventes","M3-ventes"))</f>
        <v/>
      </c>
      <c r="W15" s="26" t="str">
        <f>IF(OR((YEAR(W$3)-YEAR(Empoissonnement!$B15))*12+MONTH(W$3)-MONTH(Empoissonnement!$B15)&lt;0,(YEAR(W$3)-YEAR(Empoissonnement!$B15))*12+MONTH(W$3)-MONTH(Empoissonnement!$B15)&gt;2),"",CHOOSE((YEAR(W$3)-YEAR(Empoissonnement!$B15))*12+MONTH(W$3)-MONTH(Empoissonnement!$B15)+1,"M1","M2-ventes","M3-ventes"))</f>
        <v/>
      </c>
    </row>
    <row r="16" spans="1:23" x14ac:dyDescent="0.2">
      <c r="A16" s="21" t="str">
        <f>Empoissonnement!A16</f>
        <v>V13</v>
      </c>
      <c r="B16" s="22">
        <f>Empoissonnement!C16</f>
        <v>15</v>
      </c>
      <c r="C16" s="26" t="str">
        <f>IF(OR((YEAR(C$3)-YEAR(Empoissonnement!$B16))*12+MONTH(C$3)-MONTH(Empoissonnement!$B16)&lt;0,(YEAR(C$3)-YEAR(Empoissonnement!$B16))*12+MONTH(C$3)-MONTH(Empoissonnement!$B16)&gt;2),"",CHOOSE((YEAR(C$3)-YEAR(Empoissonnement!$B16))*12+MONTH(C$3)-MONTH(Empoissonnement!$B16)+1,"M1","M2-ventes","M3-ventes"))</f>
        <v/>
      </c>
      <c r="D16" s="26" t="str">
        <f>IF(OR((YEAR(D$3)-YEAR(Empoissonnement!$B16))*12+MONTH(D$3)-MONTH(Empoissonnement!$B16)&lt;0,(YEAR(D$3)-YEAR(Empoissonnement!$B16))*12+MONTH(D$3)-MONTH(Empoissonnement!$B16)&gt;2),"",CHOOSE((YEAR(D$3)-YEAR(Empoissonnement!$B16))*12+MONTH(D$3)-MONTH(Empoissonnement!$B16)+1,"M1","M2-ventes","M3-ventes"))</f>
        <v/>
      </c>
      <c r="E16" s="26" t="str">
        <f>IF(OR((YEAR(E$3)-YEAR(Empoissonnement!$B16))*12+MONTH(E$3)-MONTH(Empoissonnement!$B16)&lt;0,(YEAR(E$3)-YEAR(Empoissonnement!$B16))*12+MONTH(E$3)-MONTH(Empoissonnement!$B16)&gt;2),"",CHOOSE((YEAR(E$3)-YEAR(Empoissonnement!$B16))*12+MONTH(E$3)-MONTH(Empoissonnement!$B16)+1,"M1","M2-ventes","M3-ventes"))</f>
        <v/>
      </c>
      <c r="F16" s="26" t="str">
        <f>IF(OR((YEAR(F$3)-YEAR(Empoissonnement!$B16))*12+MONTH(F$3)-MONTH(Empoissonnement!$B16)&lt;0,(YEAR(F$3)-YEAR(Empoissonnement!$B16))*12+MONTH(F$3)-MONTH(Empoissonnement!$B16)&gt;2),"",CHOOSE((YEAR(F$3)-YEAR(Empoissonnement!$B16))*12+MONTH(F$3)-MONTH(Empoissonnement!$B16)+1,"M1","M2-ventes","M3-ventes"))</f>
        <v/>
      </c>
      <c r="G16" s="26" t="str">
        <f>IF(OR((YEAR(G$3)-YEAR(Empoissonnement!$B16))*12+MONTH(G$3)-MONTH(Empoissonnement!$B16)&lt;0,(YEAR(G$3)-YEAR(Empoissonnement!$B16))*12+MONTH(G$3)-MONTH(Empoissonnement!$B16)&gt;2),"",CHOOSE((YEAR(G$3)-YEAR(Empoissonnement!$B16))*12+MONTH(G$3)-MONTH(Empoissonnement!$B16)+1,"M1","M2-ventes","M3-ventes"))</f>
        <v/>
      </c>
      <c r="H16" s="26" t="str">
        <f>IF(OR((YEAR(H$3)-YEAR(Empoissonnement!$B16))*12+MONTH(H$3)-MONTH(Empoissonnement!$B16)&lt;0,(YEAR(H$3)-YEAR(Empoissonnement!$B16))*12+MONTH(H$3)-MONTH(Empoissonnement!$B16)&gt;2),"",CHOOSE((YEAR(H$3)-YEAR(Empoissonnement!$B16))*12+MONTH(H$3)-MONTH(Empoissonnement!$B16)+1,"M1","M2-ventes","M3-ventes"))</f>
        <v/>
      </c>
      <c r="I16" s="26" t="str">
        <f>IF(OR((YEAR(I$3)-YEAR(Empoissonnement!$B16))*12+MONTH(I$3)-MONTH(Empoissonnement!$B16)&lt;0,(YEAR(I$3)-YEAR(Empoissonnement!$B16))*12+MONTH(I$3)-MONTH(Empoissonnement!$B16)&gt;2),"",CHOOSE((YEAR(I$3)-YEAR(Empoissonnement!$B16))*12+MONTH(I$3)-MONTH(Empoissonnement!$B16)+1,"M1","M2-ventes","M3-ventes"))</f>
        <v/>
      </c>
      <c r="J16" s="26" t="str">
        <f>IF(OR((YEAR(J$3)-YEAR(Empoissonnement!$B16))*12+MONTH(J$3)-MONTH(Empoissonnement!$B16)&lt;0,(YEAR(J$3)-YEAR(Empoissonnement!$B16))*12+MONTH(J$3)-MONTH(Empoissonnement!$B16)&gt;2),"",CHOOSE((YEAR(J$3)-YEAR(Empoissonnement!$B16))*12+MONTH(J$3)-MONTH(Empoissonnement!$B16)+1,"M1","M2-ventes","M3-ventes"))</f>
        <v/>
      </c>
      <c r="K16" s="26" t="str">
        <f>IF(OR((YEAR(K$3)-YEAR(Empoissonnement!$B16))*12+MONTH(K$3)-MONTH(Empoissonnement!$B16)&lt;0,(YEAR(K$3)-YEAR(Empoissonnement!$B16))*12+MONTH(K$3)-MONTH(Empoissonnement!$B16)&gt;2),"",CHOOSE((YEAR(K$3)-YEAR(Empoissonnement!$B16))*12+MONTH(K$3)-MONTH(Empoissonnement!$B16)+1,"M1","M2-ventes","M3-ventes"))</f>
        <v/>
      </c>
      <c r="L16" s="26" t="str">
        <f>IF(OR((YEAR(L$3)-YEAR(Empoissonnement!$B16))*12+MONTH(L$3)-MONTH(Empoissonnement!$B16)&lt;0,(YEAR(L$3)-YEAR(Empoissonnement!$B16))*12+MONTH(L$3)-MONTH(Empoissonnement!$B16)&gt;2),"",CHOOSE((YEAR(L$3)-YEAR(Empoissonnement!$B16))*12+MONTH(L$3)-MONTH(Empoissonnement!$B16)+1,"M1","M2-ventes","M3-ventes"))</f>
        <v/>
      </c>
      <c r="M16" s="26" t="str">
        <f>IF(OR((YEAR(M$3)-YEAR(Empoissonnement!$B16))*12+MONTH(M$3)-MONTH(Empoissonnement!$B16)&lt;0,(YEAR(M$3)-YEAR(Empoissonnement!$B16))*12+MONTH(M$3)-MONTH(Empoissonnement!$B16)&gt;2),"",CHOOSE((YEAR(M$3)-YEAR(Empoissonnement!$B16))*12+MONTH(M$3)-MONTH(Empoissonnement!$B16)+1,"M1","M2-ventes","M3-ventes"))</f>
        <v/>
      </c>
      <c r="N16" s="26" t="str">
        <f>IF(OR((YEAR(N$3)-YEAR(Empoissonnement!$B16))*12+MONTH(N$3)-MONTH(Empoissonnement!$B16)&lt;0,(YEAR(N$3)-YEAR(Empoissonnement!$B16))*12+MONTH(N$3)-MONTH(Empoissonnement!$B16)&gt;2),"",CHOOSE((YEAR(N$3)-YEAR(Empoissonnement!$B16))*12+MONTH(N$3)-MONTH(Empoissonnement!$B16)+1,"M1","M2-ventes","M3-ventes"))</f>
        <v/>
      </c>
      <c r="O16" s="26" t="str">
        <f>IF(OR((YEAR(O$3)-YEAR(Empoissonnement!$B16))*12+MONTH(O$3)-MONTH(Empoissonnement!$B16)&lt;0,(YEAR(O$3)-YEAR(Empoissonnement!$B16))*12+MONTH(O$3)-MONTH(Empoissonnement!$B16)&gt;2),"",CHOOSE((YEAR(O$3)-YEAR(Empoissonnement!$B16))*12+MONTH(O$3)-MONTH(Empoissonnement!$B16)+1,"M1","M2-ventes","M3-ventes"))</f>
        <v>M1</v>
      </c>
      <c r="P16" s="26" t="str">
        <f>IF(OR((YEAR(P$3)-YEAR(Empoissonnement!$B16))*12+MONTH(P$3)-MONTH(Empoissonnement!$B16)&lt;0,(YEAR(P$3)-YEAR(Empoissonnement!$B16))*12+MONTH(P$3)-MONTH(Empoissonnement!$B16)&gt;2),"",CHOOSE((YEAR(P$3)-YEAR(Empoissonnement!$B16))*12+MONTH(P$3)-MONTH(Empoissonnement!$B16)+1,"M1","M2-ventes","M3-ventes"))</f>
        <v>M2-ventes</v>
      </c>
      <c r="Q16" s="26" t="str">
        <f>IF(OR((YEAR(Q$3)-YEAR(Empoissonnement!$B16))*12+MONTH(Q$3)-MONTH(Empoissonnement!$B16)&lt;0,(YEAR(Q$3)-YEAR(Empoissonnement!$B16))*12+MONTH(Q$3)-MONTH(Empoissonnement!$B16)&gt;2),"",CHOOSE((YEAR(Q$3)-YEAR(Empoissonnement!$B16))*12+MONTH(Q$3)-MONTH(Empoissonnement!$B16)+1,"M1","M2-ventes","M3-ventes"))</f>
        <v>M3-ventes</v>
      </c>
      <c r="R16" s="26" t="str">
        <f>IF(OR((YEAR(R$3)-YEAR(Empoissonnement!$B16))*12+MONTH(R$3)-MONTH(Empoissonnement!$B16)&lt;0,(YEAR(R$3)-YEAR(Empoissonnement!$B16))*12+MONTH(R$3)-MONTH(Empoissonnement!$B16)&gt;2),"",CHOOSE((YEAR(R$3)-YEAR(Empoissonnement!$B16))*12+MONTH(R$3)-MONTH(Empoissonnement!$B16)+1,"M1","M2-ventes","M3-ventes"))</f>
        <v/>
      </c>
      <c r="S16" s="26" t="str">
        <f>IF(OR((YEAR(S$3)-YEAR(Empoissonnement!$B16))*12+MONTH(S$3)-MONTH(Empoissonnement!$B16)&lt;0,(YEAR(S$3)-YEAR(Empoissonnement!$B16))*12+MONTH(S$3)-MONTH(Empoissonnement!$B16)&gt;2),"",CHOOSE((YEAR(S$3)-YEAR(Empoissonnement!$B16))*12+MONTH(S$3)-MONTH(Empoissonnement!$B16)+1,"M1","M2-ventes","M3-ventes"))</f>
        <v/>
      </c>
      <c r="T16" s="26" t="str">
        <f>IF(OR((YEAR(T$3)-YEAR(Empoissonnement!$B16))*12+MONTH(T$3)-MONTH(Empoissonnement!$B16)&lt;0,(YEAR(T$3)-YEAR(Empoissonnement!$B16))*12+MONTH(T$3)-MONTH(Empoissonnement!$B16)&gt;2),"",CHOOSE((YEAR(T$3)-YEAR(Empoissonnement!$B16))*12+MONTH(T$3)-MONTH(Empoissonnement!$B16)+1,"M1","M2-ventes","M3-ventes"))</f>
        <v/>
      </c>
      <c r="U16" s="26" t="str">
        <f>IF(OR((YEAR(U$3)-YEAR(Empoissonnement!$B16))*12+MONTH(U$3)-MONTH(Empoissonnement!$B16)&lt;0,(YEAR(U$3)-YEAR(Empoissonnement!$B16))*12+MONTH(U$3)-MONTH(Empoissonnement!$B16)&gt;2),"",CHOOSE((YEAR(U$3)-YEAR(Empoissonnement!$B16))*12+MONTH(U$3)-MONTH(Empoissonnement!$B16)+1,"M1","M2-ventes","M3-ventes"))</f>
        <v/>
      </c>
      <c r="V16" s="26" t="str">
        <f>IF(OR((YEAR(V$3)-YEAR(Empoissonnement!$B16))*12+MONTH(V$3)-MONTH(Empoissonnement!$B16)&lt;0,(YEAR(V$3)-YEAR(Empoissonnement!$B16))*12+MONTH(V$3)-MONTH(Empoissonnement!$B16)&gt;2),"",CHOOSE((YEAR(V$3)-YEAR(Empoissonnement!$B16))*12+MONTH(V$3)-MONTH(Empoissonnement!$B16)+1,"M1","M2-ventes","M3-ventes"))</f>
        <v/>
      </c>
      <c r="W16" s="26" t="str">
        <f>IF(OR((YEAR(W$3)-YEAR(Empoissonnement!$B16))*12+MONTH(W$3)-MONTH(Empoissonnement!$B16)&lt;0,(YEAR(W$3)-YEAR(Empoissonnement!$B16))*12+MONTH(W$3)-MONTH(Empoissonnement!$B16)&gt;2),"",CHOOSE((YEAR(W$3)-YEAR(Empoissonnement!$B16))*12+MONTH(W$3)-MONTH(Empoissonnement!$B16)+1,"M1","M2-ventes","M3-ventes"))</f>
        <v/>
      </c>
    </row>
    <row r="17" spans="1:23" x14ac:dyDescent="0.2">
      <c r="A17" s="21" t="str">
        <f>Empoissonnement!A17</f>
        <v>V14</v>
      </c>
      <c r="B17" s="22">
        <f>Empoissonnement!C17</f>
        <v>15</v>
      </c>
      <c r="C17" s="26" t="str">
        <f>IF(OR((YEAR(C$3)-YEAR(Empoissonnement!$B17))*12+MONTH(C$3)-MONTH(Empoissonnement!$B17)&lt;0,(YEAR(C$3)-YEAR(Empoissonnement!$B17))*12+MONTH(C$3)-MONTH(Empoissonnement!$B17)&gt;2),"",CHOOSE((YEAR(C$3)-YEAR(Empoissonnement!$B17))*12+MONTH(C$3)-MONTH(Empoissonnement!$B17)+1,"M1","M2-ventes","M3-ventes"))</f>
        <v/>
      </c>
      <c r="D17" s="26" t="str">
        <f>IF(OR((YEAR(D$3)-YEAR(Empoissonnement!$B17))*12+MONTH(D$3)-MONTH(Empoissonnement!$B17)&lt;0,(YEAR(D$3)-YEAR(Empoissonnement!$B17))*12+MONTH(D$3)-MONTH(Empoissonnement!$B17)&gt;2),"",CHOOSE((YEAR(D$3)-YEAR(Empoissonnement!$B17))*12+MONTH(D$3)-MONTH(Empoissonnement!$B17)+1,"M1","M2-ventes","M3-ventes"))</f>
        <v/>
      </c>
      <c r="E17" s="26" t="str">
        <f>IF(OR((YEAR(E$3)-YEAR(Empoissonnement!$B17))*12+MONTH(E$3)-MONTH(Empoissonnement!$B17)&lt;0,(YEAR(E$3)-YEAR(Empoissonnement!$B17))*12+MONTH(E$3)-MONTH(Empoissonnement!$B17)&gt;2),"",CHOOSE((YEAR(E$3)-YEAR(Empoissonnement!$B17))*12+MONTH(E$3)-MONTH(Empoissonnement!$B17)+1,"M1","M2-ventes","M3-ventes"))</f>
        <v/>
      </c>
      <c r="F17" s="26" t="str">
        <f>IF(OR((YEAR(F$3)-YEAR(Empoissonnement!$B17))*12+MONTH(F$3)-MONTH(Empoissonnement!$B17)&lt;0,(YEAR(F$3)-YEAR(Empoissonnement!$B17))*12+MONTH(F$3)-MONTH(Empoissonnement!$B17)&gt;2),"",CHOOSE((YEAR(F$3)-YEAR(Empoissonnement!$B17))*12+MONTH(F$3)-MONTH(Empoissonnement!$B17)+1,"M1","M2-ventes","M3-ventes"))</f>
        <v/>
      </c>
      <c r="G17" s="26" t="str">
        <f>IF(OR((YEAR(G$3)-YEAR(Empoissonnement!$B17))*12+MONTH(G$3)-MONTH(Empoissonnement!$B17)&lt;0,(YEAR(G$3)-YEAR(Empoissonnement!$B17))*12+MONTH(G$3)-MONTH(Empoissonnement!$B17)&gt;2),"",CHOOSE((YEAR(G$3)-YEAR(Empoissonnement!$B17))*12+MONTH(G$3)-MONTH(Empoissonnement!$B17)+1,"M1","M2-ventes","M3-ventes"))</f>
        <v/>
      </c>
      <c r="H17" s="26" t="str">
        <f>IF(OR((YEAR(H$3)-YEAR(Empoissonnement!$B17))*12+MONTH(H$3)-MONTH(Empoissonnement!$B17)&lt;0,(YEAR(H$3)-YEAR(Empoissonnement!$B17))*12+MONTH(H$3)-MONTH(Empoissonnement!$B17)&gt;2),"",CHOOSE((YEAR(H$3)-YEAR(Empoissonnement!$B17))*12+MONTH(H$3)-MONTH(Empoissonnement!$B17)+1,"M1","M2-ventes","M3-ventes"))</f>
        <v/>
      </c>
      <c r="I17" s="26" t="str">
        <f>IF(OR((YEAR(I$3)-YEAR(Empoissonnement!$B17))*12+MONTH(I$3)-MONTH(Empoissonnement!$B17)&lt;0,(YEAR(I$3)-YEAR(Empoissonnement!$B17))*12+MONTH(I$3)-MONTH(Empoissonnement!$B17)&gt;2),"",CHOOSE((YEAR(I$3)-YEAR(Empoissonnement!$B17))*12+MONTH(I$3)-MONTH(Empoissonnement!$B17)+1,"M1","M2-ventes","M3-ventes"))</f>
        <v/>
      </c>
      <c r="J17" s="26" t="str">
        <f>IF(OR((YEAR(J$3)-YEAR(Empoissonnement!$B17))*12+MONTH(J$3)-MONTH(Empoissonnement!$B17)&lt;0,(YEAR(J$3)-YEAR(Empoissonnement!$B17))*12+MONTH(J$3)-MONTH(Empoissonnement!$B17)&gt;2),"",CHOOSE((YEAR(J$3)-YEAR(Empoissonnement!$B17))*12+MONTH(J$3)-MONTH(Empoissonnement!$B17)+1,"M1","M2-ventes","M3-ventes"))</f>
        <v/>
      </c>
      <c r="K17" s="26" t="str">
        <f>IF(OR((YEAR(K$3)-YEAR(Empoissonnement!$B17))*12+MONTH(K$3)-MONTH(Empoissonnement!$B17)&lt;0,(YEAR(K$3)-YEAR(Empoissonnement!$B17))*12+MONTH(K$3)-MONTH(Empoissonnement!$B17)&gt;2),"",CHOOSE((YEAR(K$3)-YEAR(Empoissonnement!$B17))*12+MONTH(K$3)-MONTH(Empoissonnement!$B17)+1,"M1","M2-ventes","M3-ventes"))</f>
        <v/>
      </c>
      <c r="L17" s="26" t="str">
        <f>IF(OR((YEAR(L$3)-YEAR(Empoissonnement!$B17))*12+MONTH(L$3)-MONTH(Empoissonnement!$B17)&lt;0,(YEAR(L$3)-YEAR(Empoissonnement!$B17))*12+MONTH(L$3)-MONTH(Empoissonnement!$B17)&gt;2),"",CHOOSE((YEAR(L$3)-YEAR(Empoissonnement!$B17))*12+MONTH(L$3)-MONTH(Empoissonnement!$B17)+1,"M1","M2-ventes","M3-ventes"))</f>
        <v/>
      </c>
      <c r="M17" s="26" t="str">
        <f>IF(OR((YEAR(M$3)-YEAR(Empoissonnement!$B17))*12+MONTH(M$3)-MONTH(Empoissonnement!$B17)&lt;0,(YEAR(M$3)-YEAR(Empoissonnement!$B17))*12+MONTH(M$3)-MONTH(Empoissonnement!$B17)&gt;2),"",CHOOSE((YEAR(M$3)-YEAR(Empoissonnement!$B17))*12+MONTH(M$3)-MONTH(Empoissonnement!$B17)+1,"M1","M2-ventes","M3-ventes"))</f>
        <v/>
      </c>
      <c r="N17" s="26" t="str">
        <f>IF(OR((YEAR(N$3)-YEAR(Empoissonnement!$B17))*12+MONTH(N$3)-MONTH(Empoissonnement!$B17)&lt;0,(YEAR(N$3)-YEAR(Empoissonnement!$B17))*12+MONTH(N$3)-MONTH(Empoissonnement!$B17)&gt;2),"",CHOOSE((YEAR(N$3)-YEAR(Empoissonnement!$B17))*12+MONTH(N$3)-MONTH(Empoissonnement!$B17)+1,"M1","M2-ventes","M3-ventes"))</f>
        <v/>
      </c>
      <c r="O17" s="26" t="str">
        <f>IF(OR((YEAR(O$3)-YEAR(Empoissonnement!$B17))*12+MONTH(O$3)-MONTH(Empoissonnement!$B17)&lt;0,(YEAR(O$3)-YEAR(Empoissonnement!$B17))*12+MONTH(O$3)-MONTH(Empoissonnement!$B17)&gt;2),"",CHOOSE((YEAR(O$3)-YEAR(Empoissonnement!$B17))*12+MONTH(O$3)-MONTH(Empoissonnement!$B17)+1,"M1","M2-ventes","M3-ventes"))</f>
        <v/>
      </c>
      <c r="P17" s="26" t="str">
        <f>IF(OR((YEAR(P$3)-YEAR(Empoissonnement!$B17))*12+MONTH(P$3)-MONTH(Empoissonnement!$B17)&lt;0,(YEAR(P$3)-YEAR(Empoissonnement!$B17))*12+MONTH(P$3)-MONTH(Empoissonnement!$B17)&gt;2),"",CHOOSE((YEAR(P$3)-YEAR(Empoissonnement!$B17))*12+MONTH(P$3)-MONTH(Empoissonnement!$B17)+1,"M1","M2-ventes","M3-ventes"))</f>
        <v>M1</v>
      </c>
      <c r="Q17" s="26" t="str">
        <f>IF(OR((YEAR(Q$3)-YEAR(Empoissonnement!$B17))*12+MONTH(Q$3)-MONTH(Empoissonnement!$B17)&lt;0,(YEAR(Q$3)-YEAR(Empoissonnement!$B17))*12+MONTH(Q$3)-MONTH(Empoissonnement!$B17)&gt;2),"",CHOOSE((YEAR(Q$3)-YEAR(Empoissonnement!$B17))*12+MONTH(Q$3)-MONTH(Empoissonnement!$B17)+1,"M1","M2-ventes","M3-ventes"))</f>
        <v>M2-ventes</v>
      </c>
      <c r="R17" s="26" t="str">
        <f>IF(OR((YEAR(R$3)-YEAR(Empoissonnement!$B17))*12+MONTH(R$3)-MONTH(Empoissonnement!$B17)&lt;0,(YEAR(R$3)-YEAR(Empoissonnement!$B17))*12+MONTH(R$3)-MONTH(Empoissonnement!$B17)&gt;2),"",CHOOSE((YEAR(R$3)-YEAR(Empoissonnement!$B17))*12+MONTH(R$3)-MONTH(Empoissonnement!$B17)+1,"M1","M2-ventes","M3-ventes"))</f>
        <v>M3-ventes</v>
      </c>
      <c r="S17" s="26" t="str">
        <f>IF(OR((YEAR(S$3)-YEAR(Empoissonnement!$B17))*12+MONTH(S$3)-MONTH(Empoissonnement!$B17)&lt;0,(YEAR(S$3)-YEAR(Empoissonnement!$B17))*12+MONTH(S$3)-MONTH(Empoissonnement!$B17)&gt;2),"",CHOOSE((YEAR(S$3)-YEAR(Empoissonnement!$B17))*12+MONTH(S$3)-MONTH(Empoissonnement!$B17)+1,"M1","M2-ventes","M3-ventes"))</f>
        <v/>
      </c>
      <c r="T17" s="26" t="str">
        <f>IF(OR((YEAR(T$3)-YEAR(Empoissonnement!$B17))*12+MONTH(T$3)-MONTH(Empoissonnement!$B17)&lt;0,(YEAR(T$3)-YEAR(Empoissonnement!$B17))*12+MONTH(T$3)-MONTH(Empoissonnement!$B17)&gt;2),"",CHOOSE((YEAR(T$3)-YEAR(Empoissonnement!$B17))*12+MONTH(T$3)-MONTH(Empoissonnement!$B17)+1,"M1","M2-ventes","M3-ventes"))</f>
        <v/>
      </c>
      <c r="U17" s="26" t="str">
        <f>IF(OR((YEAR(U$3)-YEAR(Empoissonnement!$B17))*12+MONTH(U$3)-MONTH(Empoissonnement!$B17)&lt;0,(YEAR(U$3)-YEAR(Empoissonnement!$B17))*12+MONTH(U$3)-MONTH(Empoissonnement!$B17)&gt;2),"",CHOOSE((YEAR(U$3)-YEAR(Empoissonnement!$B17))*12+MONTH(U$3)-MONTH(Empoissonnement!$B17)+1,"M1","M2-ventes","M3-ventes"))</f>
        <v/>
      </c>
      <c r="V17" s="26" t="str">
        <f>IF(OR((YEAR(V$3)-YEAR(Empoissonnement!$B17))*12+MONTH(V$3)-MONTH(Empoissonnement!$B17)&lt;0,(YEAR(V$3)-YEAR(Empoissonnement!$B17))*12+MONTH(V$3)-MONTH(Empoissonnement!$B17)&gt;2),"",CHOOSE((YEAR(V$3)-YEAR(Empoissonnement!$B17))*12+MONTH(V$3)-MONTH(Empoissonnement!$B17)+1,"M1","M2-ventes","M3-ventes"))</f>
        <v/>
      </c>
      <c r="W17" s="26" t="str">
        <f>IF(OR((YEAR(W$3)-YEAR(Empoissonnement!$B17))*12+MONTH(W$3)-MONTH(Empoissonnement!$B17)&lt;0,(YEAR(W$3)-YEAR(Empoissonnement!$B17))*12+MONTH(W$3)-MONTH(Empoissonnement!$B17)&gt;2),"",CHOOSE((YEAR(W$3)-YEAR(Empoissonnement!$B17))*12+MONTH(W$3)-MONTH(Empoissonnement!$B17)+1,"M1","M2-ventes","M3-ventes"))</f>
        <v/>
      </c>
    </row>
    <row r="18" spans="1:23" x14ac:dyDescent="0.2">
      <c r="A18" s="21" t="str">
        <f>Empoissonnement!A18</f>
        <v>V15</v>
      </c>
      <c r="B18" s="22">
        <f>Empoissonnement!C18</f>
        <v>15</v>
      </c>
      <c r="C18" s="26" t="str">
        <f>IF(OR((YEAR(C$3)-YEAR(Empoissonnement!$B18))*12+MONTH(C$3)-MONTH(Empoissonnement!$B18)&lt;0,(YEAR(C$3)-YEAR(Empoissonnement!$B18))*12+MONTH(C$3)-MONTH(Empoissonnement!$B18)&gt;2),"",CHOOSE((YEAR(C$3)-YEAR(Empoissonnement!$B18))*12+MONTH(C$3)-MONTH(Empoissonnement!$B18)+1,"M1","M2-ventes","M3-ventes"))</f>
        <v/>
      </c>
      <c r="D18" s="26" t="str">
        <f>IF(OR((YEAR(D$3)-YEAR(Empoissonnement!$B18))*12+MONTH(D$3)-MONTH(Empoissonnement!$B18)&lt;0,(YEAR(D$3)-YEAR(Empoissonnement!$B18))*12+MONTH(D$3)-MONTH(Empoissonnement!$B18)&gt;2),"",CHOOSE((YEAR(D$3)-YEAR(Empoissonnement!$B18))*12+MONTH(D$3)-MONTH(Empoissonnement!$B18)+1,"M1","M2-ventes","M3-ventes"))</f>
        <v/>
      </c>
      <c r="E18" s="26" t="str">
        <f>IF(OR((YEAR(E$3)-YEAR(Empoissonnement!$B18))*12+MONTH(E$3)-MONTH(Empoissonnement!$B18)&lt;0,(YEAR(E$3)-YEAR(Empoissonnement!$B18))*12+MONTH(E$3)-MONTH(Empoissonnement!$B18)&gt;2),"",CHOOSE((YEAR(E$3)-YEAR(Empoissonnement!$B18))*12+MONTH(E$3)-MONTH(Empoissonnement!$B18)+1,"M1","M2-ventes","M3-ventes"))</f>
        <v/>
      </c>
      <c r="F18" s="26" t="str">
        <f>IF(OR((YEAR(F$3)-YEAR(Empoissonnement!$B18))*12+MONTH(F$3)-MONTH(Empoissonnement!$B18)&lt;0,(YEAR(F$3)-YEAR(Empoissonnement!$B18))*12+MONTH(F$3)-MONTH(Empoissonnement!$B18)&gt;2),"",CHOOSE((YEAR(F$3)-YEAR(Empoissonnement!$B18))*12+MONTH(F$3)-MONTH(Empoissonnement!$B18)+1,"M1","M2-ventes","M3-ventes"))</f>
        <v/>
      </c>
      <c r="G18" s="26" t="str">
        <f>IF(OR((YEAR(G$3)-YEAR(Empoissonnement!$B18))*12+MONTH(G$3)-MONTH(Empoissonnement!$B18)&lt;0,(YEAR(G$3)-YEAR(Empoissonnement!$B18))*12+MONTH(G$3)-MONTH(Empoissonnement!$B18)&gt;2),"",CHOOSE((YEAR(G$3)-YEAR(Empoissonnement!$B18))*12+MONTH(G$3)-MONTH(Empoissonnement!$B18)+1,"M1","M2-ventes","M3-ventes"))</f>
        <v/>
      </c>
      <c r="H18" s="26" t="str">
        <f>IF(OR((YEAR(H$3)-YEAR(Empoissonnement!$B18))*12+MONTH(H$3)-MONTH(Empoissonnement!$B18)&lt;0,(YEAR(H$3)-YEAR(Empoissonnement!$B18))*12+MONTH(H$3)-MONTH(Empoissonnement!$B18)&gt;2),"",CHOOSE((YEAR(H$3)-YEAR(Empoissonnement!$B18))*12+MONTH(H$3)-MONTH(Empoissonnement!$B18)+1,"M1","M2-ventes","M3-ventes"))</f>
        <v/>
      </c>
      <c r="I18" s="26" t="str">
        <f>IF(OR((YEAR(I$3)-YEAR(Empoissonnement!$B18))*12+MONTH(I$3)-MONTH(Empoissonnement!$B18)&lt;0,(YEAR(I$3)-YEAR(Empoissonnement!$B18))*12+MONTH(I$3)-MONTH(Empoissonnement!$B18)&gt;2),"",CHOOSE((YEAR(I$3)-YEAR(Empoissonnement!$B18))*12+MONTH(I$3)-MONTH(Empoissonnement!$B18)+1,"M1","M2-ventes","M3-ventes"))</f>
        <v/>
      </c>
      <c r="J18" s="26" t="str">
        <f>IF(OR((YEAR(J$3)-YEAR(Empoissonnement!$B18))*12+MONTH(J$3)-MONTH(Empoissonnement!$B18)&lt;0,(YEAR(J$3)-YEAR(Empoissonnement!$B18))*12+MONTH(J$3)-MONTH(Empoissonnement!$B18)&gt;2),"",CHOOSE((YEAR(J$3)-YEAR(Empoissonnement!$B18))*12+MONTH(J$3)-MONTH(Empoissonnement!$B18)+1,"M1","M2-ventes","M3-ventes"))</f>
        <v/>
      </c>
      <c r="K18" s="26" t="str">
        <f>IF(OR((YEAR(K$3)-YEAR(Empoissonnement!$B18))*12+MONTH(K$3)-MONTH(Empoissonnement!$B18)&lt;0,(YEAR(K$3)-YEAR(Empoissonnement!$B18))*12+MONTH(K$3)-MONTH(Empoissonnement!$B18)&gt;2),"",CHOOSE((YEAR(K$3)-YEAR(Empoissonnement!$B18))*12+MONTH(K$3)-MONTH(Empoissonnement!$B18)+1,"M1","M2-ventes","M3-ventes"))</f>
        <v/>
      </c>
      <c r="L18" s="26" t="str">
        <f>IF(OR((YEAR(L$3)-YEAR(Empoissonnement!$B18))*12+MONTH(L$3)-MONTH(Empoissonnement!$B18)&lt;0,(YEAR(L$3)-YEAR(Empoissonnement!$B18))*12+MONTH(L$3)-MONTH(Empoissonnement!$B18)&gt;2),"",CHOOSE((YEAR(L$3)-YEAR(Empoissonnement!$B18))*12+MONTH(L$3)-MONTH(Empoissonnement!$B18)+1,"M1","M2-ventes","M3-ventes"))</f>
        <v/>
      </c>
      <c r="M18" s="26" t="str">
        <f>IF(OR((YEAR(M$3)-YEAR(Empoissonnement!$B18))*12+MONTH(M$3)-MONTH(Empoissonnement!$B18)&lt;0,(YEAR(M$3)-YEAR(Empoissonnement!$B18))*12+MONTH(M$3)-MONTH(Empoissonnement!$B18)&gt;2),"",CHOOSE((YEAR(M$3)-YEAR(Empoissonnement!$B18))*12+MONTH(M$3)-MONTH(Empoissonnement!$B18)+1,"M1","M2-ventes","M3-ventes"))</f>
        <v/>
      </c>
      <c r="N18" s="26" t="str">
        <f>IF(OR((YEAR(N$3)-YEAR(Empoissonnement!$B18))*12+MONTH(N$3)-MONTH(Empoissonnement!$B18)&lt;0,(YEAR(N$3)-YEAR(Empoissonnement!$B18))*12+MONTH(N$3)-MONTH(Empoissonnement!$B18)&gt;2),"",CHOOSE((YEAR(N$3)-YEAR(Empoissonnement!$B18))*12+MONTH(N$3)-MONTH(Empoissonnement!$B18)+1,"M1","M2-ventes","M3-ventes"))</f>
        <v/>
      </c>
      <c r="O18" s="26" t="str">
        <f>IF(OR((YEAR(O$3)-YEAR(Empoissonnement!$B18))*12+MONTH(O$3)-MONTH(Empoissonnement!$B18)&lt;0,(YEAR(O$3)-YEAR(Empoissonnement!$B18))*12+MONTH(O$3)-MONTH(Empoissonnement!$B18)&gt;2),"",CHOOSE((YEAR(O$3)-YEAR(Empoissonnement!$B18))*12+MONTH(O$3)-MONTH(Empoissonnement!$B18)+1,"M1","M2-ventes","M3-ventes"))</f>
        <v/>
      </c>
      <c r="P18" s="26" t="str">
        <f>IF(OR((YEAR(P$3)-YEAR(Empoissonnement!$B18))*12+MONTH(P$3)-MONTH(Empoissonnement!$B18)&lt;0,(YEAR(P$3)-YEAR(Empoissonnement!$B18))*12+MONTH(P$3)-MONTH(Empoissonnement!$B18)&gt;2),"",CHOOSE((YEAR(P$3)-YEAR(Empoissonnement!$B18))*12+MONTH(P$3)-MONTH(Empoissonnement!$B18)+1,"M1","M2-ventes","M3-ventes"))</f>
        <v/>
      </c>
      <c r="Q18" s="26" t="str">
        <f>IF(OR((YEAR(Q$3)-YEAR(Empoissonnement!$B18))*12+MONTH(Q$3)-MONTH(Empoissonnement!$B18)&lt;0,(YEAR(Q$3)-YEAR(Empoissonnement!$B18))*12+MONTH(Q$3)-MONTH(Empoissonnement!$B18)&gt;2),"",CHOOSE((YEAR(Q$3)-YEAR(Empoissonnement!$B18))*12+MONTH(Q$3)-MONTH(Empoissonnement!$B18)+1,"M1","M2-ventes","M3-ventes"))</f>
        <v>M1</v>
      </c>
      <c r="R18" s="26" t="str">
        <f>IF(OR((YEAR(R$3)-YEAR(Empoissonnement!$B18))*12+MONTH(R$3)-MONTH(Empoissonnement!$B18)&lt;0,(YEAR(R$3)-YEAR(Empoissonnement!$B18))*12+MONTH(R$3)-MONTH(Empoissonnement!$B18)&gt;2),"",CHOOSE((YEAR(R$3)-YEAR(Empoissonnement!$B18))*12+MONTH(R$3)-MONTH(Empoissonnement!$B18)+1,"M1","M2-ventes","M3-ventes"))</f>
        <v>M2-ventes</v>
      </c>
      <c r="S18" s="26" t="str">
        <f>IF(OR((YEAR(S$3)-YEAR(Empoissonnement!$B18))*12+MONTH(S$3)-MONTH(Empoissonnement!$B18)&lt;0,(YEAR(S$3)-YEAR(Empoissonnement!$B18))*12+MONTH(S$3)-MONTH(Empoissonnement!$B18)&gt;2),"",CHOOSE((YEAR(S$3)-YEAR(Empoissonnement!$B18))*12+MONTH(S$3)-MONTH(Empoissonnement!$B18)+1,"M1","M2-ventes","M3-ventes"))</f>
        <v>M3-ventes</v>
      </c>
      <c r="T18" s="26" t="str">
        <f>IF(OR((YEAR(T$3)-YEAR(Empoissonnement!$B18))*12+MONTH(T$3)-MONTH(Empoissonnement!$B18)&lt;0,(YEAR(T$3)-YEAR(Empoissonnement!$B18))*12+MONTH(T$3)-MONTH(Empoissonnement!$B18)&gt;2),"",CHOOSE((YEAR(T$3)-YEAR(Empoissonnement!$B18))*12+MONTH(T$3)-MONTH(Empoissonnement!$B18)+1,"M1","M2-ventes","M3-ventes"))</f>
        <v/>
      </c>
      <c r="U18" s="26" t="str">
        <f>IF(OR((YEAR(U$3)-YEAR(Empoissonnement!$B18))*12+MONTH(U$3)-MONTH(Empoissonnement!$B18)&lt;0,(YEAR(U$3)-YEAR(Empoissonnement!$B18))*12+MONTH(U$3)-MONTH(Empoissonnement!$B18)&gt;2),"",CHOOSE((YEAR(U$3)-YEAR(Empoissonnement!$B18))*12+MONTH(U$3)-MONTH(Empoissonnement!$B18)+1,"M1","M2-ventes","M3-ventes"))</f>
        <v/>
      </c>
      <c r="V18" s="26" t="str">
        <f>IF(OR((YEAR(V$3)-YEAR(Empoissonnement!$B18))*12+MONTH(V$3)-MONTH(Empoissonnement!$B18)&lt;0,(YEAR(V$3)-YEAR(Empoissonnement!$B18))*12+MONTH(V$3)-MONTH(Empoissonnement!$B18)&gt;2),"",CHOOSE((YEAR(V$3)-YEAR(Empoissonnement!$B18))*12+MONTH(V$3)-MONTH(Empoissonnement!$B18)+1,"M1","M2-ventes","M3-ventes"))</f>
        <v/>
      </c>
      <c r="W18" s="26" t="str">
        <f>IF(OR((YEAR(W$3)-YEAR(Empoissonnement!$B18))*12+MONTH(W$3)-MONTH(Empoissonnement!$B18)&lt;0,(YEAR(W$3)-YEAR(Empoissonnement!$B18))*12+MONTH(W$3)-MONTH(Empoissonnement!$B18)&gt;2),"",CHOOSE((YEAR(W$3)-YEAR(Empoissonnement!$B18))*12+MONTH(W$3)-MONTH(Empoissonnement!$B18)+1,"M1","M2-ventes","M3-ventes"))</f>
        <v/>
      </c>
    </row>
    <row r="19" spans="1:23" x14ac:dyDescent="0.2">
      <c r="A19" s="21" t="str">
        <f>Empoissonnement!A19</f>
        <v>V16</v>
      </c>
      <c r="B19" s="22">
        <f>Empoissonnement!C19</f>
        <v>15</v>
      </c>
      <c r="C19" s="26" t="str">
        <f>IF(OR((YEAR(C$3)-YEAR(Empoissonnement!$B19))*12+MONTH(C$3)-MONTH(Empoissonnement!$B19)&lt;0,(YEAR(C$3)-YEAR(Empoissonnement!$B19))*12+MONTH(C$3)-MONTH(Empoissonnement!$B19)&gt;2),"",CHOOSE((YEAR(C$3)-YEAR(Empoissonnement!$B19))*12+MONTH(C$3)-MONTH(Empoissonnement!$B19)+1,"M1","M2-ventes","M3-ventes"))</f>
        <v/>
      </c>
      <c r="D19" s="26" t="str">
        <f>IF(OR((YEAR(D$3)-YEAR(Empoissonnement!$B19))*12+MONTH(D$3)-MONTH(Empoissonnement!$B19)&lt;0,(YEAR(D$3)-YEAR(Empoissonnement!$B19))*12+MONTH(D$3)-MONTH(Empoissonnement!$B19)&gt;2),"",CHOOSE((YEAR(D$3)-YEAR(Empoissonnement!$B19))*12+MONTH(D$3)-MONTH(Empoissonnement!$B19)+1,"M1","M2-ventes","M3-ventes"))</f>
        <v/>
      </c>
      <c r="E19" s="26" t="str">
        <f>IF(OR((YEAR(E$3)-YEAR(Empoissonnement!$B19))*12+MONTH(E$3)-MONTH(Empoissonnement!$B19)&lt;0,(YEAR(E$3)-YEAR(Empoissonnement!$B19))*12+MONTH(E$3)-MONTH(Empoissonnement!$B19)&gt;2),"",CHOOSE((YEAR(E$3)-YEAR(Empoissonnement!$B19))*12+MONTH(E$3)-MONTH(Empoissonnement!$B19)+1,"M1","M2-ventes","M3-ventes"))</f>
        <v/>
      </c>
      <c r="F19" s="26" t="str">
        <f>IF(OR((YEAR(F$3)-YEAR(Empoissonnement!$B19))*12+MONTH(F$3)-MONTH(Empoissonnement!$B19)&lt;0,(YEAR(F$3)-YEAR(Empoissonnement!$B19))*12+MONTH(F$3)-MONTH(Empoissonnement!$B19)&gt;2),"",CHOOSE((YEAR(F$3)-YEAR(Empoissonnement!$B19))*12+MONTH(F$3)-MONTH(Empoissonnement!$B19)+1,"M1","M2-ventes","M3-ventes"))</f>
        <v/>
      </c>
      <c r="G19" s="26" t="str">
        <f>IF(OR((YEAR(G$3)-YEAR(Empoissonnement!$B19))*12+MONTH(G$3)-MONTH(Empoissonnement!$B19)&lt;0,(YEAR(G$3)-YEAR(Empoissonnement!$B19))*12+MONTH(G$3)-MONTH(Empoissonnement!$B19)&gt;2),"",CHOOSE((YEAR(G$3)-YEAR(Empoissonnement!$B19))*12+MONTH(G$3)-MONTH(Empoissonnement!$B19)+1,"M1","M2-ventes","M3-ventes"))</f>
        <v/>
      </c>
      <c r="H19" s="26" t="str">
        <f>IF(OR((YEAR(H$3)-YEAR(Empoissonnement!$B19))*12+MONTH(H$3)-MONTH(Empoissonnement!$B19)&lt;0,(YEAR(H$3)-YEAR(Empoissonnement!$B19))*12+MONTH(H$3)-MONTH(Empoissonnement!$B19)&gt;2),"",CHOOSE((YEAR(H$3)-YEAR(Empoissonnement!$B19))*12+MONTH(H$3)-MONTH(Empoissonnement!$B19)+1,"M1","M2-ventes","M3-ventes"))</f>
        <v/>
      </c>
      <c r="I19" s="26" t="str">
        <f>IF(OR((YEAR(I$3)-YEAR(Empoissonnement!$B19))*12+MONTH(I$3)-MONTH(Empoissonnement!$B19)&lt;0,(YEAR(I$3)-YEAR(Empoissonnement!$B19))*12+MONTH(I$3)-MONTH(Empoissonnement!$B19)&gt;2),"",CHOOSE((YEAR(I$3)-YEAR(Empoissonnement!$B19))*12+MONTH(I$3)-MONTH(Empoissonnement!$B19)+1,"M1","M2-ventes","M3-ventes"))</f>
        <v/>
      </c>
      <c r="J19" s="26" t="str">
        <f>IF(OR((YEAR(J$3)-YEAR(Empoissonnement!$B19))*12+MONTH(J$3)-MONTH(Empoissonnement!$B19)&lt;0,(YEAR(J$3)-YEAR(Empoissonnement!$B19))*12+MONTH(J$3)-MONTH(Empoissonnement!$B19)&gt;2),"",CHOOSE((YEAR(J$3)-YEAR(Empoissonnement!$B19))*12+MONTH(J$3)-MONTH(Empoissonnement!$B19)+1,"M1","M2-ventes","M3-ventes"))</f>
        <v/>
      </c>
      <c r="K19" s="26" t="str">
        <f>IF(OR((YEAR(K$3)-YEAR(Empoissonnement!$B19))*12+MONTH(K$3)-MONTH(Empoissonnement!$B19)&lt;0,(YEAR(K$3)-YEAR(Empoissonnement!$B19))*12+MONTH(K$3)-MONTH(Empoissonnement!$B19)&gt;2),"",CHOOSE((YEAR(K$3)-YEAR(Empoissonnement!$B19))*12+MONTH(K$3)-MONTH(Empoissonnement!$B19)+1,"M1","M2-ventes","M3-ventes"))</f>
        <v/>
      </c>
      <c r="L19" s="26" t="str">
        <f>IF(OR((YEAR(L$3)-YEAR(Empoissonnement!$B19))*12+MONTH(L$3)-MONTH(Empoissonnement!$B19)&lt;0,(YEAR(L$3)-YEAR(Empoissonnement!$B19))*12+MONTH(L$3)-MONTH(Empoissonnement!$B19)&gt;2),"",CHOOSE((YEAR(L$3)-YEAR(Empoissonnement!$B19))*12+MONTH(L$3)-MONTH(Empoissonnement!$B19)+1,"M1","M2-ventes","M3-ventes"))</f>
        <v/>
      </c>
      <c r="M19" s="26" t="str">
        <f>IF(OR((YEAR(M$3)-YEAR(Empoissonnement!$B19))*12+MONTH(M$3)-MONTH(Empoissonnement!$B19)&lt;0,(YEAR(M$3)-YEAR(Empoissonnement!$B19))*12+MONTH(M$3)-MONTH(Empoissonnement!$B19)&gt;2),"",CHOOSE((YEAR(M$3)-YEAR(Empoissonnement!$B19))*12+MONTH(M$3)-MONTH(Empoissonnement!$B19)+1,"M1","M2-ventes","M3-ventes"))</f>
        <v/>
      </c>
      <c r="N19" s="26" t="str">
        <f>IF(OR((YEAR(N$3)-YEAR(Empoissonnement!$B19))*12+MONTH(N$3)-MONTH(Empoissonnement!$B19)&lt;0,(YEAR(N$3)-YEAR(Empoissonnement!$B19))*12+MONTH(N$3)-MONTH(Empoissonnement!$B19)&gt;2),"",CHOOSE((YEAR(N$3)-YEAR(Empoissonnement!$B19))*12+MONTH(N$3)-MONTH(Empoissonnement!$B19)+1,"M1","M2-ventes","M3-ventes"))</f>
        <v/>
      </c>
      <c r="O19" s="26" t="str">
        <f>IF(OR((YEAR(O$3)-YEAR(Empoissonnement!$B19))*12+MONTH(O$3)-MONTH(Empoissonnement!$B19)&lt;0,(YEAR(O$3)-YEAR(Empoissonnement!$B19))*12+MONTH(O$3)-MONTH(Empoissonnement!$B19)&gt;2),"",CHOOSE((YEAR(O$3)-YEAR(Empoissonnement!$B19))*12+MONTH(O$3)-MONTH(Empoissonnement!$B19)+1,"M1","M2-ventes","M3-ventes"))</f>
        <v/>
      </c>
      <c r="P19" s="26" t="str">
        <f>IF(OR((YEAR(P$3)-YEAR(Empoissonnement!$B19))*12+MONTH(P$3)-MONTH(Empoissonnement!$B19)&lt;0,(YEAR(P$3)-YEAR(Empoissonnement!$B19))*12+MONTH(P$3)-MONTH(Empoissonnement!$B19)&gt;2),"",CHOOSE((YEAR(P$3)-YEAR(Empoissonnement!$B19))*12+MONTH(P$3)-MONTH(Empoissonnement!$B19)+1,"M1","M2-ventes","M3-ventes"))</f>
        <v/>
      </c>
      <c r="Q19" s="26" t="str">
        <f>IF(OR((YEAR(Q$3)-YEAR(Empoissonnement!$B19))*12+MONTH(Q$3)-MONTH(Empoissonnement!$B19)&lt;0,(YEAR(Q$3)-YEAR(Empoissonnement!$B19))*12+MONTH(Q$3)-MONTH(Empoissonnement!$B19)&gt;2),"",CHOOSE((YEAR(Q$3)-YEAR(Empoissonnement!$B19))*12+MONTH(Q$3)-MONTH(Empoissonnement!$B19)+1,"M1","M2-ventes","M3-ventes"))</f>
        <v/>
      </c>
      <c r="R19" s="26" t="str">
        <f>IF(OR((YEAR(R$3)-YEAR(Empoissonnement!$B19))*12+MONTH(R$3)-MONTH(Empoissonnement!$B19)&lt;0,(YEAR(R$3)-YEAR(Empoissonnement!$B19))*12+MONTH(R$3)-MONTH(Empoissonnement!$B19)&gt;2),"",CHOOSE((YEAR(R$3)-YEAR(Empoissonnement!$B19))*12+MONTH(R$3)-MONTH(Empoissonnement!$B19)+1,"M1","M2-ventes","M3-ventes"))</f>
        <v>M1</v>
      </c>
      <c r="S19" s="26" t="str">
        <f>IF(OR((YEAR(S$3)-YEAR(Empoissonnement!$B19))*12+MONTH(S$3)-MONTH(Empoissonnement!$B19)&lt;0,(YEAR(S$3)-YEAR(Empoissonnement!$B19))*12+MONTH(S$3)-MONTH(Empoissonnement!$B19)&gt;2),"",CHOOSE((YEAR(S$3)-YEAR(Empoissonnement!$B19))*12+MONTH(S$3)-MONTH(Empoissonnement!$B19)+1,"M1","M2-ventes","M3-ventes"))</f>
        <v>M2-ventes</v>
      </c>
      <c r="T19" s="26" t="str">
        <f>IF(OR((YEAR(T$3)-YEAR(Empoissonnement!$B19))*12+MONTH(T$3)-MONTH(Empoissonnement!$B19)&lt;0,(YEAR(T$3)-YEAR(Empoissonnement!$B19))*12+MONTH(T$3)-MONTH(Empoissonnement!$B19)&gt;2),"",CHOOSE((YEAR(T$3)-YEAR(Empoissonnement!$B19))*12+MONTH(T$3)-MONTH(Empoissonnement!$B19)+1,"M1","M2-ventes","M3-ventes"))</f>
        <v>M3-ventes</v>
      </c>
      <c r="U19" s="26" t="str">
        <f>IF(OR((YEAR(U$3)-YEAR(Empoissonnement!$B19))*12+MONTH(U$3)-MONTH(Empoissonnement!$B19)&lt;0,(YEAR(U$3)-YEAR(Empoissonnement!$B19))*12+MONTH(U$3)-MONTH(Empoissonnement!$B19)&gt;2),"",CHOOSE((YEAR(U$3)-YEAR(Empoissonnement!$B19))*12+MONTH(U$3)-MONTH(Empoissonnement!$B19)+1,"M1","M2-ventes","M3-ventes"))</f>
        <v/>
      </c>
      <c r="V19" s="26" t="str">
        <f>IF(OR((YEAR(V$3)-YEAR(Empoissonnement!$B19))*12+MONTH(V$3)-MONTH(Empoissonnement!$B19)&lt;0,(YEAR(V$3)-YEAR(Empoissonnement!$B19))*12+MONTH(V$3)-MONTH(Empoissonnement!$B19)&gt;2),"",CHOOSE((YEAR(V$3)-YEAR(Empoissonnement!$B19))*12+MONTH(V$3)-MONTH(Empoissonnement!$B19)+1,"M1","M2-ventes","M3-ventes"))</f>
        <v/>
      </c>
      <c r="W19" s="26" t="str">
        <f>IF(OR((YEAR(W$3)-YEAR(Empoissonnement!$B19))*12+MONTH(W$3)-MONTH(Empoissonnement!$B19)&lt;0,(YEAR(W$3)-YEAR(Empoissonnement!$B19))*12+MONTH(W$3)-MONTH(Empoissonnement!$B19)&gt;2),"",CHOOSE((YEAR(W$3)-YEAR(Empoissonnement!$B19))*12+MONTH(W$3)-MONTH(Empoissonnement!$B19)+1,"M1","M2-ventes","M3-ventes"))</f>
        <v/>
      </c>
    </row>
    <row r="20" spans="1:23" x14ac:dyDescent="0.2">
      <c r="A20" s="21" t="str">
        <f>Empoissonnement!A20</f>
        <v>V17</v>
      </c>
      <c r="B20" s="22">
        <f>Empoissonnement!C20</f>
        <v>15</v>
      </c>
      <c r="C20" s="26" t="str">
        <f>IF(OR((YEAR(C$3)-YEAR(Empoissonnement!$B20))*12+MONTH(C$3)-MONTH(Empoissonnement!$B20)&lt;0,(YEAR(C$3)-YEAR(Empoissonnement!$B20))*12+MONTH(C$3)-MONTH(Empoissonnement!$B20)&gt;2),"",CHOOSE((YEAR(C$3)-YEAR(Empoissonnement!$B20))*12+MONTH(C$3)-MONTH(Empoissonnement!$B20)+1,"M1","M2-ventes","M3-ventes"))</f>
        <v/>
      </c>
      <c r="D20" s="26" t="str">
        <f>IF(OR((YEAR(D$3)-YEAR(Empoissonnement!$B20))*12+MONTH(D$3)-MONTH(Empoissonnement!$B20)&lt;0,(YEAR(D$3)-YEAR(Empoissonnement!$B20))*12+MONTH(D$3)-MONTH(Empoissonnement!$B20)&gt;2),"",CHOOSE((YEAR(D$3)-YEAR(Empoissonnement!$B20))*12+MONTH(D$3)-MONTH(Empoissonnement!$B20)+1,"M1","M2-ventes","M3-ventes"))</f>
        <v/>
      </c>
      <c r="E20" s="26" t="str">
        <f>IF(OR((YEAR(E$3)-YEAR(Empoissonnement!$B20))*12+MONTH(E$3)-MONTH(Empoissonnement!$B20)&lt;0,(YEAR(E$3)-YEAR(Empoissonnement!$B20))*12+MONTH(E$3)-MONTH(Empoissonnement!$B20)&gt;2),"",CHOOSE((YEAR(E$3)-YEAR(Empoissonnement!$B20))*12+MONTH(E$3)-MONTH(Empoissonnement!$B20)+1,"M1","M2-ventes","M3-ventes"))</f>
        <v/>
      </c>
      <c r="F20" s="26" t="str">
        <f>IF(OR((YEAR(F$3)-YEAR(Empoissonnement!$B20))*12+MONTH(F$3)-MONTH(Empoissonnement!$B20)&lt;0,(YEAR(F$3)-YEAR(Empoissonnement!$B20))*12+MONTH(F$3)-MONTH(Empoissonnement!$B20)&gt;2),"",CHOOSE((YEAR(F$3)-YEAR(Empoissonnement!$B20))*12+MONTH(F$3)-MONTH(Empoissonnement!$B20)+1,"M1","M2-ventes","M3-ventes"))</f>
        <v/>
      </c>
      <c r="G20" s="26" t="str">
        <f>IF(OR((YEAR(G$3)-YEAR(Empoissonnement!$B20))*12+MONTH(G$3)-MONTH(Empoissonnement!$B20)&lt;0,(YEAR(G$3)-YEAR(Empoissonnement!$B20))*12+MONTH(G$3)-MONTH(Empoissonnement!$B20)&gt;2),"",CHOOSE((YEAR(G$3)-YEAR(Empoissonnement!$B20))*12+MONTH(G$3)-MONTH(Empoissonnement!$B20)+1,"M1","M2-ventes","M3-ventes"))</f>
        <v/>
      </c>
      <c r="H20" s="26" t="str">
        <f>IF(OR((YEAR(H$3)-YEAR(Empoissonnement!$B20))*12+MONTH(H$3)-MONTH(Empoissonnement!$B20)&lt;0,(YEAR(H$3)-YEAR(Empoissonnement!$B20))*12+MONTH(H$3)-MONTH(Empoissonnement!$B20)&gt;2),"",CHOOSE((YEAR(H$3)-YEAR(Empoissonnement!$B20))*12+MONTH(H$3)-MONTH(Empoissonnement!$B20)+1,"M1","M2-ventes","M3-ventes"))</f>
        <v/>
      </c>
      <c r="I20" s="26" t="str">
        <f>IF(OR((YEAR(I$3)-YEAR(Empoissonnement!$B20))*12+MONTH(I$3)-MONTH(Empoissonnement!$B20)&lt;0,(YEAR(I$3)-YEAR(Empoissonnement!$B20))*12+MONTH(I$3)-MONTH(Empoissonnement!$B20)&gt;2),"",CHOOSE((YEAR(I$3)-YEAR(Empoissonnement!$B20))*12+MONTH(I$3)-MONTH(Empoissonnement!$B20)+1,"M1","M2-ventes","M3-ventes"))</f>
        <v/>
      </c>
      <c r="J20" s="26" t="str">
        <f>IF(OR((YEAR(J$3)-YEAR(Empoissonnement!$B20))*12+MONTH(J$3)-MONTH(Empoissonnement!$B20)&lt;0,(YEAR(J$3)-YEAR(Empoissonnement!$B20))*12+MONTH(J$3)-MONTH(Empoissonnement!$B20)&gt;2),"",CHOOSE((YEAR(J$3)-YEAR(Empoissonnement!$B20))*12+MONTH(J$3)-MONTH(Empoissonnement!$B20)+1,"M1","M2-ventes","M3-ventes"))</f>
        <v/>
      </c>
      <c r="K20" s="26" t="str">
        <f>IF(OR((YEAR(K$3)-YEAR(Empoissonnement!$B20))*12+MONTH(K$3)-MONTH(Empoissonnement!$B20)&lt;0,(YEAR(K$3)-YEAR(Empoissonnement!$B20))*12+MONTH(K$3)-MONTH(Empoissonnement!$B20)&gt;2),"",CHOOSE((YEAR(K$3)-YEAR(Empoissonnement!$B20))*12+MONTH(K$3)-MONTH(Empoissonnement!$B20)+1,"M1","M2-ventes","M3-ventes"))</f>
        <v/>
      </c>
      <c r="L20" s="26" t="str">
        <f>IF(OR((YEAR(L$3)-YEAR(Empoissonnement!$B20))*12+MONTH(L$3)-MONTH(Empoissonnement!$B20)&lt;0,(YEAR(L$3)-YEAR(Empoissonnement!$B20))*12+MONTH(L$3)-MONTH(Empoissonnement!$B20)&gt;2),"",CHOOSE((YEAR(L$3)-YEAR(Empoissonnement!$B20))*12+MONTH(L$3)-MONTH(Empoissonnement!$B20)+1,"M1","M2-ventes","M3-ventes"))</f>
        <v/>
      </c>
      <c r="M20" s="26" t="str">
        <f>IF(OR((YEAR(M$3)-YEAR(Empoissonnement!$B20))*12+MONTH(M$3)-MONTH(Empoissonnement!$B20)&lt;0,(YEAR(M$3)-YEAR(Empoissonnement!$B20))*12+MONTH(M$3)-MONTH(Empoissonnement!$B20)&gt;2),"",CHOOSE((YEAR(M$3)-YEAR(Empoissonnement!$B20))*12+MONTH(M$3)-MONTH(Empoissonnement!$B20)+1,"M1","M2-ventes","M3-ventes"))</f>
        <v/>
      </c>
      <c r="N20" s="26" t="str">
        <f>IF(OR((YEAR(N$3)-YEAR(Empoissonnement!$B20))*12+MONTH(N$3)-MONTH(Empoissonnement!$B20)&lt;0,(YEAR(N$3)-YEAR(Empoissonnement!$B20))*12+MONTH(N$3)-MONTH(Empoissonnement!$B20)&gt;2),"",CHOOSE((YEAR(N$3)-YEAR(Empoissonnement!$B20))*12+MONTH(N$3)-MONTH(Empoissonnement!$B20)+1,"M1","M2-ventes","M3-ventes"))</f>
        <v/>
      </c>
      <c r="O20" s="26" t="str">
        <f>IF(OR((YEAR(O$3)-YEAR(Empoissonnement!$B20))*12+MONTH(O$3)-MONTH(Empoissonnement!$B20)&lt;0,(YEAR(O$3)-YEAR(Empoissonnement!$B20))*12+MONTH(O$3)-MONTH(Empoissonnement!$B20)&gt;2),"",CHOOSE((YEAR(O$3)-YEAR(Empoissonnement!$B20))*12+MONTH(O$3)-MONTH(Empoissonnement!$B20)+1,"M1","M2-ventes","M3-ventes"))</f>
        <v/>
      </c>
      <c r="P20" s="26" t="str">
        <f>IF(OR((YEAR(P$3)-YEAR(Empoissonnement!$B20))*12+MONTH(P$3)-MONTH(Empoissonnement!$B20)&lt;0,(YEAR(P$3)-YEAR(Empoissonnement!$B20))*12+MONTH(P$3)-MONTH(Empoissonnement!$B20)&gt;2),"",CHOOSE((YEAR(P$3)-YEAR(Empoissonnement!$B20))*12+MONTH(P$3)-MONTH(Empoissonnement!$B20)+1,"M1","M2-ventes","M3-ventes"))</f>
        <v/>
      </c>
      <c r="Q20" s="26" t="str">
        <f>IF(OR((YEAR(Q$3)-YEAR(Empoissonnement!$B20))*12+MONTH(Q$3)-MONTH(Empoissonnement!$B20)&lt;0,(YEAR(Q$3)-YEAR(Empoissonnement!$B20))*12+MONTH(Q$3)-MONTH(Empoissonnement!$B20)&gt;2),"",CHOOSE((YEAR(Q$3)-YEAR(Empoissonnement!$B20))*12+MONTH(Q$3)-MONTH(Empoissonnement!$B20)+1,"M1","M2-ventes","M3-ventes"))</f>
        <v/>
      </c>
      <c r="R20" s="26" t="str">
        <f>IF(OR((YEAR(R$3)-YEAR(Empoissonnement!$B20))*12+MONTH(R$3)-MONTH(Empoissonnement!$B20)&lt;0,(YEAR(R$3)-YEAR(Empoissonnement!$B20))*12+MONTH(R$3)-MONTH(Empoissonnement!$B20)&gt;2),"",CHOOSE((YEAR(R$3)-YEAR(Empoissonnement!$B20))*12+MONTH(R$3)-MONTH(Empoissonnement!$B20)+1,"M1","M2-ventes","M3-ventes"))</f>
        <v/>
      </c>
      <c r="S20" s="26" t="str">
        <f>IF(OR((YEAR(S$3)-YEAR(Empoissonnement!$B20))*12+MONTH(S$3)-MONTH(Empoissonnement!$B20)&lt;0,(YEAR(S$3)-YEAR(Empoissonnement!$B20))*12+MONTH(S$3)-MONTH(Empoissonnement!$B20)&gt;2),"",CHOOSE((YEAR(S$3)-YEAR(Empoissonnement!$B20))*12+MONTH(S$3)-MONTH(Empoissonnement!$B20)+1,"M1","M2-ventes","M3-ventes"))</f>
        <v>M1</v>
      </c>
      <c r="T20" s="26" t="str">
        <f>IF(OR((YEAR(T$3)-YEAR(Empoissonnement!$B20))*12+MONTH(T$3)-MONTH(Empoissonnement!$B20)&lt;0,(YEAR(T$3)-YEAR(Empoissonnement!$B20))*12+MONTH(T$3)-MONTH(Empoissonnement!$B20)&gt;2),"",CHOOSE((YEAR(T$3)-YEAR(Empoissonnement!$B20))*12+MONTH(T$3)-MONTH(Empoissonnement!$B20)+1,"M1","M2-ventes","M3-ventes"))</f>
        <v>M2-ventes</v>
      </c>
      <c r="U20" s="26" t="str">
        <f>IF(OR((YEAR(U$3)-YEAR(Empoissonnement!$B20))*12+MONTH(U$3)-MONTH(Empoissonnement!$B20)&lt;0,(YEAR(U$3)-YEAR(Empoissonnement!$B20))*12+MONTH(U$3)-MONTH(Empoissonnement!$B20)&gt;2),"",CHOOSE((YEAR(U$3)-YEAR(Empoissonnement!$B20))*12+MONTH(U$3)-MONTH(Empoissonnement!$B20)+1,"M1","M2-ventes","M3-ventes"))</f>
        <v>M3-ventes</v>
      </c>
      <c r="V20" s="26" t="str">
        <f>IF(OR((YEAR(V$3)-YEAR(Empoissonnement!$B20))*12+MONTH(V$3)-MONTH(Empoissonnement!$B20)&lt;0,(YEAR(V$3)-YEAR(Empoissonnement!$B20))*12+MONTH(V$3)-MONTH(Empoissonnement!$B20)&gt;2),"",CHOOSE((YEAR(V$3)-YEAR(Empoissonnement!$B20))*12+MONTH(V$3)-MONTH(Empoissonnement!$B20)+1,"M1","M2-ventes","M3-ventes"))</f>
        <v/>
      </c>
      <c r="W20" s="26" t="str">
        <f>IF(OR((YEAR(W$3)-YEAR(Empoissonnement!$B20))*12+MONTH(W$3)-MONTH(Empoissonnement!$B20)&lt;0,(YEAR(W$3)-YEAR(Empoissonnement!$B20))*12+MONTH(W$3)-MONTH(Empoissonnement!$B20)&gt;2),"",CHOOSE((YEAR(W$3)-YEAR(Empoissonnement!$B20))*12+MONTH(W$3)-MONTH(Empoissonnement!$B20)+1,"M1","M2-ventes","M3-ventes"))</f>
        <v/>
      </c>
    </row>
    <row r="21" spans="1:23" x14ac:dyDescent="0.2">
      <c r="A21" s="21" t="str">
        <f>Empoissonnement!A21</f>
        <v>V18</v>
      </c>
      <c r="B21" s="22">
        <f>Empoissonnement!C21</f>
        <v>15</v>
      </c>
      <c r="C21" s="26" t="str">
        <f>IF(OR((YEAR(C$3)-YEAR(Empoissonnement!$B21))*12+MONTH(C$3)-MONTH(Empoissonnement!$B21)&lt;0,(YEAR(C$3)-YEAR(Empoissonnement!$B21))*12+MONTH(C$3)-MONTH(Empoissonnement!$B21)&gt;2),"",CHOOSE((YEAR(C$3)-YEAR(Empoissonnement!$B21))*12+MONTH(C$3)-MONTH(Empoissonnement!$B21)+1,"M1","M2-ventes","M3-ventes"))</f>
        <v/>
      </c>
      <c r="D21" s="26" t="str">
        <f>IF(OR((YEAR(D$3)-YEAR(Empoissonnement!$B21))*12+MONTH(D$3)-MONTH(Empoissonnement!$B21)&lt;0,(YEAR(D$3)-YEAR(Empoissonnement!$B21))*12+MONTH(D$3)-MONTH(Empoissonnement!$B21)&gt;2),"",CHOOSE((YEAR(D$3)-YEAR(Empoissonnement!$B21))*12+MONTH(D$3)-MONTH(Empoissonnement!$B21)+1,"M1","M2-ventes","M3-ventes"))</f>
        <v/>
      </c>
      <c r="E21" s="26" t="str">
        <f>IF(OR((YEAR(E$3)-YEAR(Empoissonnement!$B21))*12+MONTH(E$3)-MONTH(Empoissonnement!$B21)&lt;0,(YEAR(E$3)-YEAR(Empoissonnement!$B21))*12+MONTH(E$3)-MONTH(Empoissonnement!$B21)&gt;2),"",CHOOSE((YEAR(E$3)-YEAR(Empoissonnement!$B21))*12+MONTH(E$3)-MONTH(Empoissonnement!$B21)+1,"M1","M2-ventes","M3-ventes"))</f>
        <v/>
      </c>
      <c r="F21" s="26" t="str">
        <f>IF(OR((YEAR(F$3)-YEAR(Empoissonnement!$B21))*12+MONTH(F$3)-MONTH(Empoissonnement!$B21)&lt;0,(YEAR(F$3)-YEAR(Empoissonnement!$B21))*12+MONTH(F$3)-MONTH(Empoissonnement!$B21)&gt;2),"",CHOOSE((YEAR(F$3)-YEAR(Empoissonnement!$B21))*12+MONTH(F$3)-MONTH(Empoissonnement!$B21)+1,"M1","M2-ventes","M3-ventes"))</f>
        <v/>
      </c>
      <c r="G21" s="26" t="str">
        <f>IF(OR((YEAR(G$3)-YEAR(Empoissonnement!$B21))*12+MONTH(G$3)-MONTH(Empoissonnement!$B21)&lt;0,(YEAR(G$3)-YEAR(Empoissonnement!$B21))*12+MONTH(G$3)-MONTH(Empoissonnement!$B21)&gt;2),"",CHOOSE((YEAR(G$3)-YEAR(Empoissonnement!$B21))*12+MONTH(G$3)-MONTH(Empoissonnement!$B21)+1,"M1","M2-ventes","M3-ventes"))</f>
        <v/>
      </c>
      <c r="H21" s="26" t="str">
        <f>IF(OR((YEAR(H$3)-YEAR(Empoissonnement!$B21))*12+MONTH(H$3)-MONTH(Empoissonnement!$B21)&lt;0,(YEAR(H$3)-YEAR(Empoissonnement!$B21))*12+MONTH(H$3)-MONTH(Empoissonnement!$B21)&gt;2),"",CHOOSE((YEAR(H$3)-YEAR(Empoissonnement!$B21))*12+MONTH(H$3)-MONTH(Empoissonnement!$B21)+1,"M1","M2-ventes","M3-ventes"))</f>
        <v/>
      </c>
      <c r="I21" s="26" t="str">
        <f>IF(OR((YEAR(I$3)-YEAR(Empoissonnement!$B21))*12+MONTH(I$3)-MONTH(Empoissonnement!$B21)&lt;0,(YEAR(I$3)-YEAR(Empoissonnement!$B21))*12+MONTH(I$3)-MONTH(Empoissonnement!$B21)&gt;2),"",CHOOSE((YEAR(I$3)-YEAR(Empoissonnement!$B21))*12+MONTH(I$3)-MONTH(Empoissonnement!$B21)+1,"M1","M2-ventes","M3-ventes"))</f>
        <v/>
      </c>
      <c r="J21" s="26" t="str">
        <f>IF(OR((YEAR(J$3)-YEAR(Empoissonnement!$B21))*12+MONTH(J$3)-MONTH(Empoissonnement!$B21)&lt;0,(YEAR(J$3)-YEAR(Empoissonnement!$B21))*12+MONTH(J$3)-MONTH(Empoissonnement!$B21)&gt;2),"",CHOOSE((YEAR(J$3)-YEAR(Empoissonnement!$B21))*12+MONTH(J$3)-MONTH(Empoissonnement!$B21)+1,"M1","M2-ventes","M3-ventes"))</f>
        <v/>
      </c>
      <c r="K21" s="26" t="str">
        <f>IF(OR((YEAR(K$3)-YEAR(Empoissonnement!$B21))*12+MONTH(K$3)-MONTH(Empoissonnement!$B21)&lt;0,(YEAR(K$3)-YEAR(Empoissonnement!$B21))*12+MONTH(K$3)-MONTH(Empoissonnement!$B21)&gt;2),"",CHOOSE((YEAR(K$3)-YEAR(Empoissonnement!$B21))*12+MONTH(K$3)-MONTH(Empoissonnement!$B21)+1,"M1","M2-ventes","M3-ventes"))</f>
        <v/>
      </c>
      <c r="L21" s="26" t="str">
        <f>IF(OR((YEAR(L$3)-YEAR(Empoissonnement!$B21))*12+MONTH(L$3)-MONTH(Empoissonnement!$B21)&lt;0,(YEAR(L$3)-YEAR(Empoissonnement!$B21))*12+MONTH(L$3)-MONTH(Empoissonnement!$B21)&gt;2),"",CHOOSE((YEAR(L$3)-YEAR(Empoissonnement!$B21))*12+MONTH(L$3)-MONTH(Empoissonnement!$B21)+1,"M1","M2-ventes","M3-ventes"))</f>
        <v/>
      </c>
      <c r="M21" s="26" t="str">
        <f>IF(OR((YEAR(M$3)-YEAR(Empoissonnement!$B21))*12+MONTH(M$3)-MONTH(Empoissonnement!$B21)&lt;0,(YEAR(M$3)-YEAR(Empoissonnement!$B21))*12+MONTH(M$3)-MONTH(Empoissonnement!$B21)&gt;2),"",CHOOSE((YEAR(M$3)-YEAR(Empoissonnement!$B21))*12+MONTH(M$3)-MONTH(Empoissonnement!$B21)+1,"M1","M2-ventes","M3-ventes"))</f>
        <v/>
      </c>
      <c r="N21" s="26" t="str">
        <f>IF(OR((YEAR(N$3)-YEAR(Empoissonnement!$B21))*12+MONTH(N$3)-MONTH(Empoissonnement!$B21)&lt;0,(YEAR(N$3)-YEAR(Empoissonnement!$B21))*12+MONTH(N$3)-MONTH(Empoissonnement!$B21)&gt;2),"",CHOOSE((YEAR(N$3)-YEAR(Empoissonnement!$B21))*12+MONTH(N$3)-MONTH(Empoissonnement!$B21)+1,"M1","M2-ventes","M3-ventes"))</f>
        <v/>
      </c>
      <c r="O21" s="26" t="str">
        <f>IF(OR((YEAR(O$3)-YEAR(Empoissonnement!$B21))*12+MONTH(O$3)-MONTH(Empoissonnement!$B21)&lt;0,(YEAR(O$3)-YEAR(Empoissonnement!$B21))*12+MONTH(O$3)-MONTH(Empoissonnement!$B21)&gt;2),"",CHOOSE((YEAR(O$3)-YEAR(Empoissonnement!$B21))*12+MONTH(O$3)-MONTH(Empoissonnement!$B21)+1,"M1","M2-ventes","M3-ventes"))</f>
        <v/>
      </c>
      <c r="P21" s="26" t="str">
        <f>IF(OR((YEAR(P$3)-YEAR(Empoissonnement!$B21))*12+MONTH(P$3)-MONTH(Empoissonnement!$B21)&lt;0,(YEAR(P$3)-YEAR(Empoissonnement!$B21))*12+MONTH(P$3)-MONTH(Empoissonnement!$B21)&gt;2),"",CHOOSE((YEAR(P$3)-YEAR(Empoissonnement!$B21))*12+MONTH(P$3)-MONTH(Empoissonnement!$B21)+1,"M1","M2-ventes","M3-ventes"))</f>
        <v/>
      </c>
      <c r="Q21" s="26" t="str">
        <f>IF(OR((YEAR(Q$3)-YEAR(Empoissonnement!$B21))*12+MONTH(Q$3)-MONTH(Empoissonnement!$B21)&lt;0,(YEAR(Q$3)-YEAR(Empoissonnement!$B21))*12+MONTH(Q$3)-MONTH(Empoissonnement!$B21)&gt;2),"",CHOOSE((YEAR(Q$3)-YEAR(Empoissonnement!$B21))*12+MONTH(Q$3)-MONTH(Empoissonnement!$B21)+1,"M1","M2-ventes","M3-ventes"))</f>
        <v/>
      </c>
      <c r="R21" s="26" t="str">
        <f>IF(OR((YEAR(R$3)-YEAR(Empoissonnement!$B21))*12+MONTH(R$3)-MONTH(Empoissonnement!$B21)&lt;0,(YEAR(R$3)-YEAR(Empoissonnement!$B21))*12+MONTH(R$3)-MONTH(Empoissonnement!$B21)&gt;2),"",CHOOSE((YEAR(R$3)-YEAR(Empoissonnement!$B21))*12+MONTH(R$3)-MONTH(Empoissonnement!$B21)+1,"M1","M2-ventes","M3-ventes"))</f>
        <v/>
      </c>
      <c r="S21" s="26" t="str">
        <f>IF(OR((YEAR(S$3)-YEAR(Empoissonnement!$B21))*12+MONTH(S$3)-MONTH(Empoissonnement!$B21)&lt;0,(YEAR(S$3)-YEAR(Empoissonnement!$B21))*12+MONTH(S$3)-MONTH(Empoissonnement!$B21)&gt;2),"",CHOOSE((YEAR(S$3)-YEAR(Empoissonnement!$B21))*12+MONTH(S$3)-MONTH(Empoissonnement!$B21)+1,"M1","M2-ventes","M3-ventes"))</f>
        <v/>
      </c>
      <c r="T21" s="26" t="str">
        <f>IF(OR((YEAR(T$3)-YEAR(Empoissonnement!$B21))*12+MONTH(T$3)-MONTH(Empoissonnement!$B21)&lt;0,(YEAR(T$3)-YEAR(Empoissonnement!$B21))*12+MONTH(T$3)-MONTH(Empoissonnement!$B21)&gt;2),"",CHOOSE((YEAR(T$3)-YEAR(Empoissonnement!$B21))*12+MONTH(T$3)-MONTH(Empoissonnement!$B21)+1,"M1","M2-ventes","M3-ventes"))</f>
        <v>M1</v>
      </c>
      <c r="U21" s="26" t="str">
        <f>IF(OR((YEAR(U$3)-YEAR(Empoissonnement!$B21))*12+MONTH(U$3)-MONTH(Empoissonnement!$B21)&lt;0,(YEAR(U$3)-YEAR(Empoissonnement!$B21))*12+MONTH(U$3)-MONTH(Empoissonnement!$B21)&gt;2),"",CHOOSE((YEAR(U$3)-YEAR(Empoissonnement!$B21))*12+MONTH(U$3)-MONTH(Empoissonnement!$B21)+1,"M1","M2-ventes","M3-ventes"))</f>
        <v>M2-ventes</v>
      </c>
      <c r="V21" s="26" t="str">
        <f>IF(OR((YEAR(V$3)-YEAR(Empoissonnement!$B21))*12+MONTH(V$3)-MONTH(Empoissonnement!$B21)&lt;0,(YEAR(V$3)-YEAR(Empoissonnement!$B21))*12+MONTH(V$3)-MONTH(Empoissonnement!$B21)&gt;2),"",CHOOSE((YEAR(V$3)-YEAR(Empoissonnement!$B21))*12+MONTH(V$3)-MONTH(Empoissonnement!$B21)+1,"M1","M2-ventes","M3-ventes"))</f>
        <v>M3-ventes</v>
      </c>
      <c r="W21" s="26" t="str">
        <f>IF(OR((YEAR(W$3)-YEAR(Empoissonnement!$B21))*12+MONTH(W$3)-MONTH(Empoissonnement!$B21)&lt;0,(YEAR(W$3)-YEAR(Empoissonnement!$B21))*12+MONTH(W$3)-MONTH(Empoissonnement!$B21)&gt;2),"",CHOOSE((YEAR(W$3)-YEAR(Empoissonnement!$B21))*12+MONTH(W$3)-MONTH(Empoissonnement!$B21)+1,"M1","M2-ventes","M3-ventes"))</f>
        <v/>
      </c>
    </row>
    <row r="22" spans="1:23" x14ac:dyDescent="0.2">
      <c r="A22" s="21" t="str">
        <f>Empoissonnement!A22</f>
        <v>V19</v>
      </c>
      <c r="B22" s="22">
        <f>Empoissonnement!C22</f>
        <v>15</v>
      </c>
      <c r="C22" s="26" t="str">
        <f>IF(OR((YEAR(C$3)-YEAR(Empoissonnement!$B22))*12+MONTH(C$3)-MONTH(Empoissonnement!$B22)&lt;0,(YEAR(C$3)-YEAR(Empoissonnement!$B22))*12+MONTH(C$3)-MONTH(Empoissonnement!$B22)&gt;2),"",CHOOSE((YEAR(C$3)-YEAR(Empoissonnement!$B22))*12+MONTH(C$3)-MONTH(Empoissonnement!$B22)+1,"M1","M2-ventes","M3-ventes"))</f>
        <v/>
      </c>
      <c r="D22" s="26" t="str">
        <f>IF(OR((YEAR(D$3)-YEAR(Empoissonnement!$B22))*12+MONTH(D$3)-MONTH(Empoissonnement!$B22)&lt;0,(YEAR(D$3)-YEAR(Empoissonnement!$B22))*12+MONTH(D$3)-MONTH(Empoissonnement!$B22)&gt;2),"",CHOOSE((YEAR(D$3)-YEAR(Empoissonnement!$B22))*12+MONTH(D$3)-MONTH(Empoissonnement!$B22)+1,"M1","M2-ventes","M3-ventes"))</f>
        <v/>
      </c>
      <c r="E22" s="26" t="str">
        <f>IF(OR((YEAR(E$3)-YEAR(Empoissonnement!$B22))*12+MONTH(E$3)-MONTH(Empoissonnement!$B22)&lt;0,(YEAR(E$3)-YEAR(Empoissonnement!$B22))*12+MONTH(E$3)-MONTH(Empoissonnement!$B22)&gt;2),"",CHOOSE((YEAR(E$3)-YEAR(Empoissonnement!$B22))*12+MONTH(E$3)-MONTH(Empoissonnement!$B22)+1,"M1","M2-ventes","M3-ventes"))</f>
        <v/>
      </c>
      <c r="F22" s="26" t="str">
        <f>IF(OR((YEAR(F$3)-YEAR(Empoissonnement!$B22))*12+MONTH(F$3)-MONTH(Empoissonnement!$B22)&lt;0,(YEAR(F$3)-YEAR(Empoissonnement!$B22))*12+MONTH(F$3)-MONTH(Empoissonnement!$B22)&gt;2),"",CHOOSE((YEAR(F$3)-YEAR(Empoissonnement!$B22))*12+MONTH(F$3)-MONTH(Empoissonnement!$B22)+1,"M1","M2-ventes","M3-ventes"))</f>
        <v/>
      </c>
      <c r="G22" s="26" t="str">
        <f>IF(OR((YEAR(G$3)-YEAR(Empoissonnement!$B22))*12+MONTH(G$3)-MONTH(Empoissonnement!$B22)&lt;0,(YEAR(G$3)-YEAR(Empoissonnement!$B22))*12+MONTH(G$3)-MONTH(Empoissonnement!$B22)&gt;2),"",CHOOSE((YEAR(G$3)-YEAR(Empoissonnement!$B22))*12+MONTH(G$3)-MONTH(Empoissonnement!$B22)+1,"M1","M2-ventes","M3-ventes"))</f>
        <v/>
      </c>
      <c r="H22" s="26" t="str">
        <f>IF(OR((YEAR(H$3)-YEAR(Empoissonnement!$B22))*12+MONTH(H$3)-MONTH(Empoissonnement!$B22)&lt;0,(YEAR(H$3)-YEAR(Empoissonnement!$B22))*12+MONTH(H$3)-MONTH(Empoissonnement!$B22)&gt;2),"",CHOOSE((YEAR(H$3)-YEAR(Empoissonnement!$B22))*12+MONTH(H$3)-MONTH(Empoissonnement!$B22)+1,"M1","M2-ventes","M3-ventes"))</f>
        <v/>
      </c>
      <c r="I22" s="26" t="str">
        <f>IF(OR((YEAR(I$3)-YEAR(Empoissonnement!$B22))*12+MONTH(I$3)-MONTH(Empoissonnement!$B22)&lt;0,(YEAR(I$3)-YEAR(Empoissonnement!$B22))*12+MONTH(I$3)-MONTH(Empoissonnement!$B22)&gt;2),"",CHOOSE((YEAR(I$3)-YEAR(Empoissonnement!$B22))*12+MONTH(I$3)-MONTH(Empoissonnement!$B22)+1,"M1","M2-ventes","M3-ventes"))</f>
        <v/>
      </c>
      <c r="J22" s="26" t="str">
        <f>IF(OR((YEAR(J$3)-YEAR(Empoissonnement!$B22))*12+MONTH(J$3)-MONTH(Empoissonnement!$B22)&lt;0,(YEAR(J$3)-YEAR(Empoissonnement!$B22))*12+MONTH(J$3)-MONTH(Empoissonnement!$B22)&gt;2),"",CHOOSE((YEAR(J$3)-YEAR(Empoissonnement!$B22))*12+MONTH(J$3)-MONTH(Empoissonnement!$B22)+1,"M1","M2-ventes","M3-ventes"))</f>
        <v/>
      </c>
      <c r="K22" s="26" t="str">
        <f>IF(OR((YEAR(K$3)-YEAR(Empoissonnement!$B22))*12+MONTH(K$3)-MONTH(Empoissonnement!$B22)&lt;0,(YEAR(K$3)-YEAR(Empoissonnement!$B22))*12+MONTH(K$3)-MONTH(Empoissonnement!$B22)&gt;2),"",CHOOSE((YEAR(K$3)-YEAR(Empoissonnement!$B22))*12+MONTH(K$3)-MONTH(Empoissonnement!$B22)+1,"M1","M2-ventes","M3-ventes"))</f>
        <v/>
      </c>
      <c r="L22" s="26" t="str">
        <f>IF(OR((YEAR(L$3)-YEAR(Empoissonnement!$B22))*12+MONTH(L$3)-MONTH(Empoissonnement!$B22)&lt;0,(YEAR(L$3)-YEAR(Empoissonnement!$B22))*12+MONTH(L$3)-MONTH(Empoissonnement!$B22)&gt;2),"",CHOOSE((YEAR(L$3)-YEAR(Empoissonnement!$B22))*12+MONTH(L$3)-MONTH(Empoissonnement!$B22)+1,"M1","M2-ventes","M3-ventes"))</f>
        <v/>
      </c>
      <c r="M22" s="26" t="str">
        <f>IF(OR((YEAR(M$3)-YEAR(Empoissonnement!$B22))*12+MONTH(M$3)-MONTH(Empoissonnement!$B22)&lt;0,(YEAR(M$3)-YEAR(Empoissonnement!$B22))*12+MONTH(M$3)-MONTH(Empoissonnement!$B22)&gt;2),"",CHOOSE((YEAR(M$3)-YEAR(Empoissonnement!$B22))*12+MONTH(M$3)-MONTH(Empoissonnement!$B22)+1,"M1","M2-ventes","M3-ventes"))</f>
        <v/>
      </c>
      <c r="N22" s="26" t="str">
        <f>IF(OR((YEAR(N$3)-YEAR(Empoissonnement!$B22))*12+MONTH(N$3)-MONTH(Empoissonnement!$B22)&lt;0,(YEAR(N$3)-YEAR(Empoissonnement!$B22))*12+MONTH(N$3)-MONTH(Empoissonnement!$B22)&gt;2),"",CHOOSE((YEAR(N$3)-YEAR(Empoissonnement!$B22))*12+MONTH(N$3)-MONTH(Empoissonnement!$B22)+1,"M1","M2-ventes","M3-ventes"))</f>
        <v/>
      </c>
      <c r="O22" s="26" t="str">
        <f>IF(OR((YEAR(O$3)-YEAR(Empoissonnement!$B22))*12+MONTH(O$3)-MONTH(Empoissonnement!$B22)&lt;0,(YEAR(O$3)-YEAR(Empoissonnement!$B22))*12+MONTH(O$3)-MONTH(Empoissonnement!$B22)&gt;2),"",CHOOSE((YEAR(O$3)-YEAR(Empoissonnement!$B22))*12+MONTH(O$3)-MONTH(Empoissonnement!$B22)+1,"M1","M2-ventes","M3-ventes"))</f>
        <v/>
      </c>
      <c r="P22" s="26" t="str">
        <f>IF(OR((YEAR(P$3)-YEAR(Empoissonnement!$B22))*12+MONTH(P$3)-MONTH(Empoissonnement!$B22)&lt;0,(YEAR(P$3)-YEAR(Empoissonnement!$B22))*12+MONTH(P$3)-MONTH(Empoissonnement!$B22)&gt;2),"",CHOOSE((YEAR(P$3)-YEAR(Empoissonnement!$B22))*12+MONTH(P$3)-MONTH(Empoissonnement!$B22)+1,"M1","M2-ventes","M3-ventes"))</f>
        <v/>
      </c>
      <c r="Q22" s="26" t="str">
        <f>IF(OR((YEAR(Q$3)-YEAR(Empoissonnement!$B22))*12+MONTH(Q$3)-MONTH(Empoissonnement!$B22)&lt;0,(YEAR(Q$3)-YEAR(Empoissonnement!$B22))*12+MONTH(Q$3)-MONTH(Empoissonnement!$B22)&gt;2),"",CHOOSE((YEAR(Q$3)-YEAR(Empoissonnement!$B22))*12+MONTH(Q$3)-MONTH(Empoissonnement!$B22)+1,"M1","M2-ventes","M3-ventes"))</f>
        <v/>
      </c>
      <c r="R22" s="26" t="str">
        <f>IF(OR((YEAR(R$3)-YEAR(Empoissonnement!$B22))*12+MONTH(R$3)-MONTH(Empoissonnement!$B22)&lt;0,(YEAR(R$3)-YEAR(Empoissonnement!$B22))*12+MONTH(R$3)-MONTH(Empoissonnement!$B22)&gt;2),"",CHOOSE((YEAR(R$3)-YEAR(Empoissonnement!$B22))*12+MONTH(R$3)-MONTH(Empoissonnement!$B22)+1,"M1","M2-ventes","M3-ventes"))</f>
        <v/>
      </c>
      <c r="S22" s="26" t="str">
        <f>IF(OR((YEAR(S$3)-YEAR(Empoissonnement!$B22))*12+MONTH(S$3)-MONTH(Empoissonnement!$B22)&lt;0,(YEAR(S$3)-YEAR(Empoissonnement!$B22))*12+MONTH(S$3)-MONTH(Empoissonnement!$B22)&gt;2),"",CHOOSE((YEAR(S$3)-YEAR(Empoissonnement!$B22))*12+MONTH(S$3)-MONTH(Empoissonnement!$B22)+1,"M1","M2-ventes","M3-ventes"))</f>
        <v/>
      </c>
      <c r="T22" s="26" t="str">
        <f>IF(OR((YEAR(T$3)-YEAR(Empoissonnement!$B22))*12+MONTH(T$3)-MONTH(Empoissonnement!$B22)&lt;0,(YEAR(T$3)-YEAR(Empoissonnement!$B22))*12+MONTH(T$3)-MONTH(Empoissonnement!$B22)&gt;2),"",CHOOSE((YEAR(T$3)-YEAR(Empoissonnement!$B22))*12+MONTH(T$3)-MONTH(Empoissonnement!$B22)+1,"M1","M2-ventes","M3-ventes"))</f>
        <v/>
      </c>
      <c r="U22" s="26" t="str">
        <f>IF(OR((YEAR(U$3)-YEAR(Empoissonnement!$B22))*12+MONTH(U$3)-MONTH(Empoissonnement!$B22)&lt;0,(YEAR(U$3)-YEAR(Empoissonnement!$B22))*12+MONTH(U$3)-MONTH(Empoissonnement!$B22)&gt;2),"",CHOOSE((YEAR(U$3)-YEAR(Empoissonnement!$B22))*12+MONTH(U$3)-MONTH(Empoissonnement!$B22)+1,"M1","M2-ventes","M3-ventes"))</f>
        <v>M1</v>
      </c>
      <c r="V22" s="26" t="str">
        <f>IF(OR((YEAR(V$3)-YEAR(Empoissonnement!$B22))*12+MONTH(V$3)-MONTH(Empoissonnement!$B22)&lt;0,(YEAR(V$3)-YEAR(Empoissonnement!$B22))*12+MONTH(V$3)-MONTH(Empoissonnement!$B22)&gt;2),"",CHOOSE((YEAR(V$3)-YEAR(Empoissonnement!$B22))*12+MONTH(V$3)-MONTH(Empoissonnement!$B22)+1,"M1","M2-ventes","M3-ventes"))</f>
        <v>M2-ventes</v>
      </c>
      <c r="W22" s="26" t="str">
        <f>IF(OR((YEAR(W$3)-YEAR(Empoissonnement!$B22))*12+MONTH(W$3)-MONTH(Empoissonnement!$B22)&lt;0,(YEAR(W$3)-YEAR(Empoissonnement!$B22))*12+MONTH(W$3)-MONTH(Empoissonnement!$B22)&gt;2),"",CHOOSE((YEAR(W$3)-YEAR(Empoissonnement!$B22))*12+MONTH(W$3)-MONTH(Empoissonnement!$B22)+1,"M1","M2-ventes","M3-ventes"))</f>
        <v>M3-ventes</v>
      </c>
    </row>
    <row r="24" spans="1:23" x14ac:dyDescent="0.2">
      <c r="A24" s="14" t="s">
        <v>105</v>
      </c>
      <c r="B24" s="27" t="s">
        <v>106</v>
      </c>
      <c r="D24" s="28" t="s">
        <v>107</v>
      </c>
      <c r="G24" s="29" t="s">
        <v>108</v>
      </c>
    </row>
  </sheetData>
  <conditionalFormatting sqref="C4:W22">
    <cfRule type="expression" dxfId="2" priority="2">
      <formula>C4="M1"</formula>
    </cfRule>
    <cfRule type="expression" dxfId="1" priority="3">
      <formula>C4="M2-ventes"</formula>
    </cfRule>
    <cfRule type="expression" dxfId="0" priority="4">
      <formula>C4="M3-ventes"</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38"/>
  <sheetViews>
    <sheetView tabSelected="1" zoomScaleNormal="100" workbookViewId="0">
      <pane xSplit="1" ySplit="3" topLeftCell="B4" activePane="bottomRight" state="frozen"/>
      <selection pane="topRight" activeCell="B1" sqref="B1"/>
      <selection pane="bottomLeft" activeCell="A4" sqref="A4"/>
      <selection pane="bottomRight" activeCell="M31" sqref="M31"/>
    </sheetView>
  </sheetViews>
  <sheetFormatPr baseColWidth="10" defaultColWidth="8.6640625" defaultRowHeight="15" outlineLevelRow="1" x14ac:dyDescent="0.2"/>
  <cols>
    <col min="1" max="1" width="36" customWidth="1"/>
    <col min="2" max="22" width="13" customWidth="1"/>
    <col min="23" max="23" width="15" customWidth="1"/>
  </cols>
  <sheetData>
    <row r="1" spans="1:23" ht="18" x14ac:dyDescent="0.2">
      <c r="A1" s="2" t="s">
        <v>109</v>
      </c>
    </row>
    <row r="2" spans="1:23" x14ac:dyDescent="0.2">
      <c r="A2" s="3" t="s">
        <v>229</v>
      </c>
    </row>
    <row r="3" spans="1:23" x14ac:dyDescent="0.2">
      <c r="A3" s="1" t="s">
        <v>110</v>
      </c>
      <c r="B3" s="25">
        <v>46235</v>
      </c>
      <c r="C3" s="25">
        <v>46266</v>
      </c>
      <c r="D3" s="25">
        <v>46296</v>
      </c>
      <c r="E3" s="25">
        <v>46327</v>
      </c>
      <c r="F3" s="25">
        <v>46357</v>
      </c>
      <c r="G3" s="25">
        <v>46388</v>
      </c>
      <c r="H3" s="25">
        <v>46419</v>
      </c>
      <c r="I3" s="25">
        <v>46447</v>
      </c>
      <c r="J3" s="25">
        <v>46478</v>
      </c>
      <c r="K3" s="25">
        <v>46508</v>
      </c>
      <c r="L3" s="25">
        <v>46539</v>
      </c>
      <c r="M3" s="25">
        <v>46569</v>
      </c>
      <c r="N3" s="25">
        <v>46600</v>
      </c>
      <c r="O3" s="25">
        <v>46631</v>
      </c>
      <c r="P3" s="25">
        <v>46661</v>
      </c>
      <c r="Q3" s="25">
        <v>46692</v>
      </c>
      <c r="R3" s="25">
        <v>46722</v>
      </c>
      <c r="S3" s="25">
        <v>46753</v>
      </c>
      <c r="T3" s="25">
        <v>46784</v>
      </c>
      <c r="U3" s="25">
        <v>46813</v>
      </c>
      <c r="V3" s="25">
        <v>46844</v>
      </c>
      <c r="W3" s="1" t="s">
        <v>89</v>
      </c>
    </row>
    <row r="4" spans="1:23" x14ac:dyDescent="0.2">
      <c r="A4" s="30" t="s">
        <v>111</v>
      </c>
      <c r="B4" s="22">
        <f>SUMIFS(Empoissonnement!$C$4:$C$22,Empoissonnement!$B$4:$B$22,B$3)</f>
        <v>4</v>
      </c>
      <c r="C4" s="22">
        <f>SUMIFS(Empoissonnement!$C$4:$C$22,Empoissonnement!$B$4:$B$22,C$3)</f>
        <v>4</v>
      </c>
      <c r="D4" s="22">
        <f>SUMIFS(Empoissonnement!$C$4:$C$22,Empoissonnement!$B$4:$B$22,D$3)</f>
        <v>8</v>
      </c>
      <c r="E4" s="22">
        <f>SUMIFS(Empoissonnement!$C$4:$C$22,Empoissonnement!$B$4:$B$22,E$3)</f>
        <v>8</v>
      </c>
      <c r="F4" s="22">
        <f>SUMIFS(Empoissonnement!$C$4:$C$22,Empoissonnement!$B$4:$B$22,F$3)</f>
        <v>10</v>
      </c>
      <c r="G4" s="22">
        <f>SUMIFS(Empoissonnement!$C$4:$C$22,Empoissonnement!$B$4:$B$22,G$3)</f>
        <v>12</v>
      </c>
      <c r="H4" s="22">
        <f>SUMIFS(Empoissonnement!$C$4:$C$22,Empoissonnement!$B$4:$B$22,H$3)</f>
        <v>15</v>
      </c>
      <c r="I4" s="22">
        <f>SUMIFS(Empoissonnement!$C$4:$C$22,Empoissonnement!$B$4:$B$22,I$3)</f>
        <v>15</v>
      </c>
      <c r="J4" s="22">
        <f>SUMIFS(Empoissonnement!$C$4:$C$22,Empoissonnement!$B$4:$B$22,J$3)</f>
        <v>15</v>
      </c>
      <c r="K4" s="22">
        <f>SUMIFS(Empoissonnement!$C$4:$C$22,Empoissonnement!$B$4:$B$22,K$3)</f>
        <v>15</v>
      </c>
      <c r="L4" s="22">
        <f>SUMIFS(Empoissonnement!$C$4:$C$22,Empoissonnement!$B$4:$B$22,L$3)</f>
        <v>15</v>
      </c>
      <c r="M4" s="22">
        <f>SUMIFS(Empoissonnement!$C$4:$C$22,Empoissonnement!$B$4:$B$22,M$3)</f>
        <v>15</v>
      </c>
      <c r="N4" s="22">
        <f>SUMIFS(Empoissonnement!$C$4:$C$22,Empoissonnement!$B$4:$B$22,N$3)</f>
        <v>15</v>
      </c>
      <c r="O4" s="22">
        <f>SUMIFS(Empoissonnement!$C$4:$C$22,Empoissonnement!$B$4:$B$22,O$3)</f>
        <v>15</v>
      </c>
      <c r="P4" s="22">
        <f>SUMIFS(Empoissonnement!$C$4:$C$22,Empoissonnement!$B$4:$B$22,P$3)</f>
        <v>15</v>
      </c>
      <c r="Q4" s="22">
        <f>SUMIFS(Empoissonnement!$C$4:$C$22,Empoissonnement!$B$4:$B$22,Q$3)</f>
        <v>15</v>
      </c>
      <c r="R4" s="22">
        <f>SUMIFS(Empoissonnement!$C$4:$C$22,Empoissonnement!$B$4:$B$22,R$3)</f>
        <v>15</v>
      </c>
      <c r="S4" s="22">
        <f>SUMIFS(Empoissonnement!$C$4:$C$22,Empoissonnement!$B$4:$B$22,S$3)</f>
        <v>15</v>
      </c>
      <c r="T4" s="22">
        <f>SUMIFS(Empoissonnement!$C$4:$C$22,Empoissonnement!$B$4:$B$22,T$3)</f>
        <v>15</v>
      </c>
      <c r="U4" s="22">
        <f>SUMIFS(Empoissonnement!$C$4:$C$22,Empoissonnement!$B$4:$B$22,U$3)</f>
        <v>0</v>
      </c>
      <c r="V4" s="22">
        <f>SUMIFS(Empoissonnement!$C$4:$C$22,Empoissonnement!$B$4:$B$22,V$3)</f>
        <v>0</v>
      </c>
      <c r="W4" s="20">
        <f t="shared" ref="W4:W10" si="0">SUM(B4:V4)</f>
        <v>241</v>
      </c>
    </row>
    <row r="5" spans="1:23" x14ac:dyDescent="0.2">
      <c r="A5" s="30" t="s">
        <v>112</v>
      </c>
      <c r="B5" s="13">
        <f>SUMIFS(Empoissonnement!$E$4:$E$22,Empoissonnement!$B$4:$B$22,B$3)</f>
        <v>11000</v>
      </c>
      <c r="C5" s="13">
        <f>SUMIFS(Empoissonnement!$E$4:$E$22,Empoissonnement!$B$4:$B$22,C$3)</f>
        <v>11000</v>
      </c>
      <c r="D5" s="13">
        <f>SUMIFS(Empoissonnement!$E$4:$E$22,Empoissonnement!$B$4:$B$22,D$3)</f>
        <v>22000</v>
      </c>
      <c r="E5" s="13">
        <f>SUMIFS(Empoissonnement!$E$4:$E$22,Empoissonnement!$B$4:$B$22,E$3)</f>
        <v>22000</v>
      </c>
      <c r="F5" s="13">
        <f>SUMIFS(Empoissonnement!$E$4:$E$22,Empoissonnement!$B$4:$B$22,F$3)</f>
        <v>27500</v>
      </c>
      <c r="G5" s="13">
        <f>SUMIFS(Empoissonnement!$E$4:$E$22,Empoissonnement!$B$4:$B$22,G$3)</f>
        <v>33000</v>
      </c>
      <c r="H5" s="13">
        <f>SUMIFS(Empoissonnement!$E$4:$E$22,Empoissonnement!$B$4:$B$22,H$3)</f>
        <v>41250</v>
      </c>
      <c r="I5" s="13">
        <f>SUMIFS(Empoissonnement!$E$4:$E$22,Empoissonnement!$B$4:$B$22,I$3)</f>
        <v>41250</v>
      </c>
      <c r="J5" s="13">
        <f>SUMIFS(Empoissonnement!$E$4:$E$22,Empoissonnement!$B$4:$B$22,J$3)</f>
        <v>41250</v>
      </c>
      <c r="K5" s="13">
        <f>SUMIFS(Empoissonnement!$E$4:$E$22,Empoissonnement!$B$4:$B$22,K$3)</f>
        <v>41250</v>
      </c>
      <c r="L5" s="13">
        <f>SUMIFS(Empoissonnement!$E$4:$E$22,Empoissonnement!$B$4:$B$22,L$3)</f>
        <v>41250</v>
      </c>
      <c r="M5" s="13">
        <f>SUMIFS(Empoissonnement!$E$4:$E$22,Empoissonnement!$B$4:$B$22,M$3)</f>
        <v>41250</v>
      </c>
      <c r="N5" s="13">
        <f>SUMIFS(Empoissonnement!$E$4:$E$22,Empoissonnement!$B$4:$B$22,N$3)</f>
        <v>41250</v>
      </c>
      <c r="O5" s="13">
        <f>SUMIFS(Empoissonnement!$E$4:$E$22,Empoissonnement!$B$4:$B$22,O$3)</f>
        <v>41250</v>
      </c>
      <c r="P5" s="13">
        <f>SUMIFS(Empoissonnement!$E$4:$E$22,Empoissonnement!$B$4:$B$22,P$3)</f>
        <v>41250</v>
      </c>
      <c r="Q5" s="13">
        <f>SUMIFS(Empoissonnement!$E$4:$E$22,Empoissonnement!$B$4:$B$22,Q$3)</f>
        <v>41250</v>
      </c>
      <c r="R5" s="13">
        <f>SUMIFS(Empoissonnement!$E$4:$E$22,Empoissonnement!$B$4:$B$22,R$3)</f>
        <v>41250</v>
      </c>
      <c r="S5" s="13">
        <f>SUMIFS(Empoissonnement!$E$4:$E$22,Empoissonnement!$B$4:$B$22,S$3)</f>
        <v>41250</v>
      </c>
      <c r="T5" s="13">
        <f>SUMIFS(Empoissonnement!$E$4:$E$22,Empoissonnement!$B$4:$B$22,T$3)</f>
        <v>41250</v>
      </c>
      <c r="U5" s="13">
        <f>SUMIFS(Empoissonnement!$E$4:$E$22,Empoissonnement!$B$4:$B$22,U$3)</f>
        <v>0</v>
      </c>
      <c r="V5" s="13">
        <f>SUMIFS(Empoissonnement!$E$4:$E$22,Empoissonnement!$B$4:$B$22,V$3)</f>
        <v>0</v>
      </c>
      <c r="W5" s="15">
        <f t="shared" si="0"/>
        <v>662750</v>
      </c>
    </row>
    <row r="6" spans="1:23" x14ac:dyDescent="0.2">
      <c r="A6" s="30" t="s">
        <v>113</v>
      </c>
      <c r="B6" s="13">
        <f>'Besoins aliments'!$H5</f>
        <v>600</v>
      </c>
      <c r="C6" s="13">
        <f>'Besoins aliments'!$H6</f>
        <v>2760</v>
      </c>
      <c r="D6" s="13">
        <f>'Besoins aliments'!$H7</f>
        <v>5160</v>
      </c>
      <c r="E6" s="13">
        <f>'Besoins aliments'!$H8</f>
        <v>7320</v>
      </c>
      <c r="F6" s="13">
        <f>'Besoins aliments'!$H9</f>
        <v>9420</v>
      </c>
      <c r="G6" s="13">
        <f>'Besoins aliments'!$H10</f>
        <v>10800</v>
      </c>
      <c r="H6" s="13">
        <f>'Besoins aliments'!$H11</f>
        <v>13230</v>
      </c>
      <c r="I6" s="13">
        <f>'Besoins aliments'!$H12</f>
        <v>15750</v>
      </c>
      <c r="J6" s="13">
        <f>'Besoins aliments'!$H13</f>
        <v>17100</v>
      </c>
      <c r="K6" s="13">
        <f>'Besoins aliments'!$H14</f>
        <v>17100</v>
      </c>
      <c r="L6" s="13">
        <f>'Besoins aliments'!$H15</f>
        <v>17100</v>
      </c>
      <c r="M6" s="13">
        <f>'Besoins aliments'!$H16</f>
        <v>17100</v>
      </c>
      <c r="N6" s="13">
        <f>'Besoins aliments'!$H17</f>
        <v>17100</v>
      </c>
      <c r="O6" s="13">
        <f>'Besoins aliments'!$H18</f>
        <v>17100</v>
      </c>
      <c r="P6" s="13">
        <f>'Besoins aliments'!$H19</f>
        <v>17100</v>
      </c>
      <c r="Q6" s="13">
        <f>'Besoins aliments'!$H20</f>
        <v>17100</v>
      </c>
      <c r="R6" s="13">
        <f>'Besoins aliments'!$H21</f>
        <v>17100</v>
      </c>
      <c r="S6" s="13">
        <f>'Besoins aliments'!$H22</f>
        <v>17100</v>
      </c>
      <c r="T6" s="13">
        <f>'Besoins aliments'!$H23</f>
        <v>17100</v>
      </c>
      <c r="U6" s="13">
        <f>'Besoins aliments'!$H24</f>
        <v>14850</v>
      </c>
      <c r="V6" s="13">
        <f>'Besoins aliments'!$H25</f>
        <v>6750</v>
      </c>
      <c r="W6" s="15">
        <f t="shared" si="0"/>
        <v>274740</v>
      </c>
    </row>
    <row r="7" spans="1:23" x14ac:dyDescent="0.2">
      <c r="A7" s="30" t="s">
        <v>142</v>
      </c>
      <c r="B7" s="13">
        <f>SUM('Besoins aliments'!$I5:$N5)</f>
        <v>41</v>
      </c>
      <c r="C7" s="13">
        <f>SUM('Besoins aliments'!$I6:$N6)</f>
        <v>184</v>
      </c>
      <c r="D7" s="13">
        <f>SUM('Besoins aliments'!$I7:$N7)</f>
        <v>345</v>
      </c>
      <c r="E7" s="13">
        <f>SUM('Besoins aliments'!$I8:$N8)</f>
        <v>488</v>
      </c>
      <c r="F7" s="13">
        <f>SUM('Besoins aliments'!$I9:$N9)</f>
        <v>629</v>
      </c>
      <c r="G7" s="13">
        <f>SUM('Besoins aliments'!$I10:$N10)</f>
        <v>721</v>
      </c>
      <c r="H7" s="13">
        <f>SUM('Besoins aliments'!$I11:$N11)</f>
        <v>883</v>
      </c>
      <c r="I7" s="13">
        <f>SUM('Besoins aliments'!$I12:$N12)</f>
        <v>1050</v>
      </c>
      <c r="J7" s="13">
        <f>SUM('Besoins aliments'!$I13:$N13)</f>
        <v>1140</v>
      </c>
      <c r="K7" s="13">
        <f>SUM('Besoins aliments'!$I14:$N14)</f>
        <v>1140</v>
      </c>
      <c r="L7" s="13">
        <f>SUM('Besoins aliments'!$I15:$N15)</f>
        <v>1140</v>
      </c>
      <c r="M7" s="13">
        <f>SUM('Besoins aliments'!$I16:$N16)</f>
        <v>1140</v>
      </c>
      <c r="N7" s="13">
        <f>SUM('Besoins aliments'!$I17:$N17)</f>
        <v>1140</v>
      </c>
      <c r="O7" s="13">
        <f>SUM('Besoins aliments'!$I18:$N18)</f>
        <v>1140</v>
      </c>
      <c r="P7" s="13">
        <f>SUM('Besoins aliments'!$I19:$N19)</f>
        <v>1140</v>
      </c>
      <c r="Q7" s="13">
        <f>SUM('Besoins aliments'!$I20:$N20)</f>
        <v>1140</v>
      </c>
      <c r="R7" s="13">
        <f>SUM('Besoins aliments'!$I21:$N21)</f>
        <v>1140</v>
      </c>
      <c r="S7" s="13">
        <f>SUM('Besoins aliments'!$I22:$N22)</f>
        <v>1140</v>
      </c>
      <c r="T7" s="13">
        <f>SUM('Besoins aliments'!$I23:$N23)</f>
        <v>1140</v>
      </c>
      <c r="U7" s="13">
        <f>SUM('Besoins aliments'!$I24:$N24)</f>
        <v>990</v>
      </c>
      <c r="V7" s="13">
        <f>SUM('Besoins aliments'!$I25:$N25)</f>
        <v>450</v>
      </c>
      <c r="W7" s="15">
        <f t="shared" si="0"/>
        <v>18321</v>
      </c>
    </row>
    <row r="8" spans="1:23" x14ac:dyDescent="0.2">
      <c r="A8" s="30" t="str">
        <f>"   dont sacs "&amp;Aliments!$A$4</f>
        <v xml:space="preserve">   dont sacs 2 mm</v>
      </c>
      <c r="B8" s="13">
        <f>'Besoins aliments'!$I5</f>
        <v>26</v>
      </c>
      <c r="C8" s="13">
        <f>'Besoins aliments'!$I6</f>
        <v>32</v>
      </c>
      <c r="D8" s="13">
        <f>'Besoins aliments'!$I7</f>
        <v>58</v>
      </c>
      <c r="E8" s="13">
        <f>'Besoins aliments'!$I8</f>
        <v>64</v>
      </c>
      <c r="F8" s="13">
        <f>'Besoins aliments'!$I9</f>
        <v>77</v>
      </c>
      <c r="G8" s="13">
        <f>'Besoins aliments'!$I10</f>
        <v>93</v>
      </c>
      <c r="H8" s="13">
        <f>'Besoins aliments'!$I11</f>
        <v>116</v>
      </c>
      <c r="I8" s="13">
        <f>'Besoins aliments'!$I12</f>
        <v>120</v>
      </c>
      <c r="J8" s="13">
        <f>'Besoins aliments'!$I13</f>
        <v>120</v>
      </c>
      <c r="K8" s="13">
        <f>'Besoins aliments'!$I14</f>
        <v>120</v>
      </c>
      <c r="L8" s="13">
        <f>'Besoins aliments'!$I15</f>
        <v>120</v>
      </c>
      <c r="M8" s="13">
        <f>'Besoins aliments'!$I16</f>
        <v>120</v>
      </c>
      <c r="N8" s="13">
        <f>'Besoins aliments'!$I17</f>
        <v>120</v>
      </c>
      <c r="O8" s="13">
        <f>'Besoins aliments'!$I18</f>
        <v>120</v>
      </c>
      <c r="P8" s="13">
        <f>'Besoins aliments'!$I19</f>
        <v>120</v>
      </c>
      <c r="Q8" s="13">
        <f>'Besoins aliments'!$I20</f>
        <v>120</v>
      </c>
      <c r="R8" s="13">
        <f>'Besoins aliments'!$I21</f>
        <v>120</v>
      </c>
      <c r="S8" s="13">
        <f>'Besoins aliments'!$I22</f>
        <v>120</v>
      </c>
      <c r="T8" s="13">
        <f>'Besoins aliments'!$I23</f>
        <v>120</v>
      </c>
      <c r="U8" s="13">
        <f>'Besoins aliments'!$I24</f>
        <v>24</v>
      </c>
      <c r="V8" s="13">
        <f>'Besoins aliments'!$I25</f>
        <v>0</v>
      </c>
      <c r="W8" s="15">
        <f t="shared" si="0"/>
        <v>1930</v>
      </c>
    </row>
    <row r="9" spans="1:23" x14ac:dyDescent="0.2">
      <c r="A9" s="30" t="str">
        <f>"   dont sacs "&amp;Aliments!$A$5</f>
        <v xml:space="preserve">   dont sacs 3 mm</v>
      </c>
      <c r="B9" s="13">
        <f>'Besoins aliments'!$J5</f>
        <v>15</v>
      </c>
      <c r="C9" s="13">
        <f>'Besoins aliments'!$J6</f>
        <v>72</v>
      </c>
      <c r="D9" s="13">
        <f>'Besoins aliments'!$J7</f>
        <v>87</v>
      </c>
      <c r="E9" s="13">
        <f>'Besoins aliments'!$J8</f>
        <v>144</v>
      </c>
      <c r="F9" s="13">
        <f>'Besoins aliments'!$J9</f>
        <v>152</v>
      </c>
      <c r="G9" s="13">
        <f>'Besoins aliments'!$J10</f>
        <v>188</v>
      </c>
      <c r="H9" s="13">
        <f>'Besoins aliments'!$J11</f>
        <v>227</v>
      </c>
      <c r="I9" s="13">
        <f>'Besoins aliments'!$J12</f>
        <v>270</v>
      </c>
      <c r="J9" s="13">
        <f>'Besoins aliments'!$J13</f>
        <v>270</v>
      </c>
      <c r="K9" s="13">
        <f>'Besoins aliments'!$J14</f>
        <v>270</v>
      </c>
      <c r="L9" s="13">
        <f>'Besoins aliments'!$J15</f>
        <v>270</v>
      </c>
      <c r="M9" s="13">
        <f>'Besoins aliments'!$J16</f>
        <v>270</v>
      </c>
      <c r="N9" s="13">
        <f>'Besoins aliments'!$J17</f>
        <v>270</v>
      </c>
      <c r="O9" s="13">
        <f>'Besoins aliments'!$J18</f>
        <v>270</v>
      </c>
      <c r="P9" s="13">
        <f>'Besoins aliments'!$J19</f>
        <v>270</v>
      </c>
      <c r="Q9" s="13">
        <f>'Besoins aliments'!$J20</f>
        <v>270</v>
      </c>
      <c r="R9" s="13">
        <f>'Besoins aliments'!$J21</f>
        <v>270</v>
      </c>
      <c r="S9" s="13">
        <f>'Besoins aliments'!$J22</f>
        <v>270</v>
      </c>
      <c r="T9" s="13">
        <f>'Besoins aliments'!$J23</f>
        <v>270</v>
      </c>
      <c r="U9" s="13">
        <f>'Besoins aliments'!$J24</f>
        <v>216</v>
      </c>
      <c r="V9" s="13">
        <f>'Besoins aliments'!$J25</f>
        <v>0</v>
      </c>
      <c r="W9" s="15">
        <f t="shared" si="0"/>
        <v>4341</v>
      </c>
    </row>
    <row r="10" spans="1:23" x14ac:dyDescent="0.2">
      <c r="A10" s="30" t="str">
        <f>"   dont sacs "&amp;Aliments!$A$6</f>
        <v xml:space="preserve">   dont sacs 4 mm</v>
      </c>
      <c r="B10" s="13">
        <f>'Besoins aliments'!$K5</f>
        <v>0</v>
      </c>
      <c r="C10" s="13">
        <f>'Besoins aliments'!$K6</f>
        <v>80</v>
      </c>
      <c r="D10" s="13">
        <f>'Besoins aliments'!$K7</f>
        <v>200</v>
      </c>
      <c r="E10" s="13">
        <f>'Besoins aliments'!$K8</f>
        <v>280</v>
      </c>
      <c r="F10" s="13">
        <f>'Besoins aliments'!$K9</f>
        <v>400</v>
      </c>
      <c r="G10" s="13">
        <f>'Besoins aliments'!$K10</f>
        <v>440</v>
      </c>
      <c r="H10" s="13">
        <f>'Besoins aliments'!$K11</f>
        <v>540</v>
      </c>
      <c r="I10" s="13">
        <f>'Besoins aliments'!$K12</f>
        <v>660</v>
      </c>
      <c r="J10" s="13">
        <f>'Besoins aliments'!$K13</f>
        <v>750</v>
      </c>
      <c r="K10" s="13">
        <f>'Besoins aliments'!$K14</f>
        <v>750</v>
      </c>
      <c r="L10" s="13">
        <f>'Besoins aliments'!$K15</f>
        <v>750</v>
      </c>
      <c r="M10" s="13">
        <f>'Besoins aliments'!$K16</f>
        <v>750</v>
      </c>
      <c r="N10" s="13">
        <f>'Besoins aliments'!$K17</f>
        <v>750</v>
      </c>
      <c r="O10" s="13">
        <f>'Besoins aliments'!$K18</f>
        <v>750</v>
      </c>
      <c r="P10" s="13">
        <f>'Besoins aliments'!$K19</f>
        <v>750</v>
      </c>
      <c r="Q10" s="13">
        <f>'Besoins aliments'!$K20</f>
        <v>750</v>
      </c>
      <c r="R10" s="13">
        <f>'Besoins aliments'!$K21</f>
        <v>750</v>
      </c>
      <c r="S10" s="13">
        <f>'Besoins aliments'!$K22</f>
        <v>750</v>
      </c>
      <c r="T10" s="13">
        <f>'Besoins aliments'!$K23</f>
        <v>750</v>
      </c>
      <c r="U10" s="13">
        <f>'Besoins aliments'!$K24</f>
        <v>750</v>
      </c>
      <c r="V10" s="13">
        <f>'Besoins aliments'!$K25</f>
        <v>450</v>
      </c>
      <c r="W10" s="15">
        <f t="shared" si="0"/>
        <v>12050</v>
      </c>
    </row>
    <row r="11" spans="1:23" x14ac:dyDescent="0.2">
      <c r="A11" s="39" t="s">
        <v>146</v>
      </c>
      <c r="B11" s="40"/>
      <c r="C11" s="40"/>
      <c r="D11" s="40"/>
      <c r="E11" s="40"/>
      <c r="F11" s="40"/>
      <c r="G11" s="40"/>
      <c r="H11" s="40"/>
      <c r="I11" s="40"/>
      <c r="J11" s="40"/>
      <c r="K11" s="40"/>
      <c r="L11" s="40"/>
      <c r="M11" s="40"/>
      <c r="N11" s="40"/>
      <c r="O11" s="40"/>
      <c r="P11" s="40"/>
      <c r="Q11" s="40"/>
      <c r="R11" s="40"/>
      <c r="S11" s="40"/>
      <c r="T11" s="40"/>
      <c r="U11" s="40"/>
      <c r="V11" s="40"/>
      <c r="W11" s="40"/>
    </row>
    <row r="12" spans="1:23" outlineLevel="1" x14ac:dyDescent="0.2">
      <c r="A12" s="30" t="s">
        <v>143</v>
      </c>
      <c r="B12" s="37" t="str">
        <f>IFERROR(INDEX(Empoissonnement!$A$4:$A$22,MATCH(B$3,Empoissonnement!$B$4:$B$22,0)),"—")</f>
        <v>V1</v>
      </c>
      <c r="C12" s="37" t="str">
        <f>IFERROR(INDEX(Empoissonnement!$A$4:$A$22,MATCH(C$3,Empoissonnement!$B$4:$B$22,0)),"—")</f>
        <v>V2</v>
      </c>
      <c r="D12" s="37" t="str">
        <f>IFERROR(INDEX(Empoissonnement!$A$4:$A$22,MATCH(D$3,Empoissonnement!$B$4:$B$22,0)),"—")</f>
        <v>V3</v>
      </c>
      <c r="E12" s="37" t="str">
        <f>IFERROR(INDEX(Empoissonnement!$A$4:$A$22,MATCH(E$3,Empoissonnement!$B$4:$B$22,0)),"—")</f>
        <v>V4</v>
      </c>
      <c r="F12" s="37" t="str">
        <f>IFERROR(INDEX(Empoissonnement!$A$4:$A$22,MATCH(F$3,Empoissonnement!$B$4:$B$22,0)),"—")</f>
        <v>V5</v>
      </c>
      <c r="G12" s="37" t="str">
        <f>IFERROR(INDEX(Empoissonnement!$A$4:$A$22,MATCH(G$3,Empoissonnement!$B$4:$B$22,0)),"—")</f>
        <v>V6</v>
      </c>
      <c r="H12" s="37" t="str">
        <f>IFERROR(INDEX(Empoissonnement!$A$4:$A$22,MATCH(H$3,Empoissonnement!$B$4:$B$22,0)),"—")</f>
        <v>V7</v>
      </c>
      <c r="I12" s="37" t="str">
        <f>IFERROR(INDEX(Empoissonnement!$A$4:$A$22,MATCH(I$3,Empoissonnement!$B$4:$B$22,0)),"—")</f>
        <v>V8</v>
      </c>
      <c r="J12" s="37" t="str">
        <f>IFERROR(INDEX(Empoissonnement!$A$4:$A$22,MATCH(J$3,Empoissonnement!$B$4:$B$22,0)),"—")</f>
        <v>V9</v>
      </c>
      <c r="K12" s="37" t="str">
        <f>IFERROR(INDEX(Empoissonnement!$A$4:$A$22,MATCH(K$3,Empoissonnement!$B$4:$B$22,0)),"—")</f>
        <v>V10</v>
      </c>
      <c r="L12" s="37" t="str">
        <f>IFERROR(INDEX(Empoissonnement!$A$4:$A$22,MATCH(L$3,Empoissonnement!$B$4:$B$22,0)),"—")</f>
        <v>V11</v>
      </c>
      <c r="M12" s="37" t="str">
        <f>IFERROR(INDEX(Empoissonnement!$A$4:$A$22,MATCH(M$3,Empoissonnement!$B$4:$B$22,0)),"—")</f>
        <v>V12</v>
      </c>
      <c r="N12" s="37" t="str">
        <f>IFERROR(INDEX(Empoissonnement!$A$4:$A$22,MATCH(N$3,Empoissonnement!$B$4:$B$22,0)),"—")</f>
        <v>V13</v>
      </c>
      <c r="O12" s="37" t="str">
        <f>IFERROR(INDEX(Empoissonnement!$A$4:$A$22,MATCH(O$3,Empoissonnement!$B$4:$B$22,0)),"—")</f>
        <v>V14</v>
      </c>
      <c r="P12" s="37" t="str">
        <f>IFERROR(INDEX(Empoissonnement!$A$4:$A$22,MATCH(P$3,Empoissonnement!$B$4:$B$22,0)),"—")</f>
        <v>V15</v>
      </c>
      <c r="Q12" s="37" t="str">
        <f>IFERROR(INDEX(Empoissonnement!$A$4:$A$22,MATCH(Q$3,Empoissonnement!$B$4:$B$22,0)),"—")</f>
        <v>V16</v>
      </c>
      <c r="R12" s="37" t="str">
        <f>IFERROR(INDEX(Empoissonnement!$A$4:$A$22,MATCH(R$3,Empoissonnement!$B$4:$B$22,0)),"—")</f>
        <v>V17</v>
      </c>
      <c r="S12" s="37" t="str">
        <f>IFERROR(INDEX(Empoissonnement!$A$4:$A$22,MATCH(S$3,Empoissonnement!$B$4:$B$22,0)),"—")</f>
        <v>V18</v>
      </c>
      <c r="T12" s="37" t="str">
        <f>IFERROR(INDEX(Empoissonnement!$A$4:$A$22,MATCH(T$3,Empoissonnement!$B$4:$B$22,0)),"—")</f>
        <v>V19</v>
      </c>
      <c r="U12" s="37" t="str">
        <f>IFERROR(INDEX(Empoissonnement!$A$4:$A$22,MATCH(U$3,Empoissonnement!$B$4:$B$22,0)),"—")</f>
        <v>—</v>
      </c>
      <c r="V12" s="37" t="str">
        <f>IFERROR(INDEX(Empoissonnement!$A$4:$A$22,MATCH(V$3,Empoissonnement!$B$4:$B$22,0)),"—")</f>
        <v>—</v>
      </c>
      <c r="W12" s="38"/>
    </row>
    <row r="13" spans="1:23" outlineLevel="1" x14ac:dyDescent="0.2">
      <c r="A13" s="30" t="str">
        <f>"   dont sacs "&amp;Aliments!$A$4</f>
        <v xml:space="preserve">   dont sacs 2 mm</v>
      </c>
      <c r="B13" s="13">
        <f>ROUND(SUMIFS('Aliment par vague'!$D$4:$D$22,Empoissonnement!$B$4:$B$22,B$3)*N(Aliments!$F$4),0)</f>
        <v>26</v>
      </c>
      <c r="C13" s="13">
        <f>ROUND(SUMIFS('Aliment par vague'!$D$4:$D$22,Empoissonnement!$B$4:$B$22,C$3)*N(Aliments!$F$4),0)</f>
        <v>26</v>
      </c>
      <c r="D13" s="13">
        <f>ROUND(SUMIFS('Aliment par vague'!$D$4:$D$22,Empoissonnement!$B$4:$B$22,D$3)*N(Aliments!$F$4),0)</f>
        <v>51</v>
      </c>
      <c r="E13" s="13">
        <f>ROUND(SUMIFS('Aliment par vague'!$D$4:$D$22,Empoissonnement!$B$4:$B$22,E$3)*N(Aliments!$F$4),0)</f>
        <v>51</v>
      </c>
      <c r="F13" s="13">
        <f>ROUND(SUMIFS('Aliment par vague'!$D$4:$D$22,Empoissonnement!$B$4:$B$22,F$3)*N(Aliments!$F$4),0)</f>
        <v>64</v>
      </c>
      <c r="G13" s="13">
        <f>ROUND(SUMIFS('Aliment par vague'!$D$4:$D$22,Empoissonnement!$B$4:$B$22,G$3)*N(Aliments!$F$4),0)</f>
        <v>77</v>
      </c>
      <c r="H13" s="13">
        <f>ROUND(SUMIFS('Aliment par vague'!$D$4:$D$22,Empoissonnement!$B$4:$B$22,H$3)*N(Aliments!$F$4),0)</f>
        <v>96</v>
      </c>
      <c r="I13" s="13">
        <f>ROUND(SUMIFS('Aliment par vague'!$D$4:$D$22,Empoissonnement!$B$4:$B$22,I$3)*N(Aliments!$F$4),0)</f>
        <v>96</v>
      </c>
      <c r="J13" s="13">
        <f>ROUND(SUMIFS('Aliment par vague'!$D$4:$D$22,Empoissonnement!$B$4:$B$22,J$3)*N(Aliments!$F$4),0)</f>
        <v>96</v>
      </c>
      <c r="K13" s="13">
        <f>ROUND(SUMIFS('Aliment par vague'!$D$4:$D$22,Empoissonnement!$B$4:$B$22,K$3)*N(Aliments!$F$4),0)</f>
        <v>96</v>
      </c>
      <c r="L13" s="13">
        <f>ROUND(SUMIFS('Aliment par vague'!$D$4:$D$22,Empoissonnement!$B$4:$B$22,L$3)*N(Aliments!$F$4),0)</f>
        <v>96</v>
      </c>
      <c r="M13" s="13">
        <f>ROUND(SUMIFS('Aliment par vague'!$D$4:$D$22,Empoissonnement!$B$4:$B$22,M$3)*N(Aliments!$F$4),0)</f>
        <v>96</v>
      </c>
      <c r="N13" s="13">
        <f>ROUND(SUMIFS('Aliment par vague'!$D$4:$D$22,Empoissonnement!$B$4:$B$22,N$3)*N(Aliments!$F$4),0)</f>
        <v>96</v>
      </c>
      <c r="O13" s="13">
        <f>ROUND(SUMIFS('Aliment par vague'!$D$4:$D$22,Empoissonnement!$B$4:$B$22,O$3)*N(Aliments!$F$4),0)</f>
        <v>96</v>
      </c>
      <c r="P13" s="13">
        <f>ROUND(SUMIFS('Aliment par vague'!$D$4:$D$22,Empoissonnement!$B$4:$B$22,P$3)*N(Aliments!$F$4),0)</f>
        <v>96</v>
      </c>
      <c r="Q13" s="13">
        <f>ROUND(SUMIFS('Aliment par vague'!$D$4:$D$22,Empoissonnement!$B$4:$B$22,Q$3)*N(Aliments!$F$4),0)</f>
        <v>96</v>
      </c>
      <c r="R13" s="13">
        <f>ROUND(SUMIFS('Aliment par vague'!$D$4:$D$22,Empoissonnement!$B$4:$B$22,R$3)*N(Aliments!$F$4),0)</f>
        <v>96</v>
      </c>
      <c r="S13" s="13">
        <f>ROUND(SUMIFS('Aliment par vague'!$D$4:$D$22,Empoissonnement!$B$4:$B$22,S$3)*N(Aliments!$F$4),0)</f>
        <v>96</v>
      </c>
      <c r="T13" s="13">
        <f>ROUND(SUMIFS('Aliment par vague'!$D$4:$D$22,Empoissonnement!$B$4:$B$22,T$3)*N(Aliments!$F$4),0)</f>
        <v>96</v>
      </c>
      <c r="U13" s="13">
        <f>ROUND(SUMIFS('Aliment par vague'!$D$4:$D$22,Empoissonnement!$B$4:$B$22,U$3)*N(Aliments!$F$4),0)</f>
        <v>0</v>
      </c>
      <c r="V13" s="13">
        <f>ROUND(SUMIFS('Aliment par vague'!$D$4:$D$22,Empoissonnement!$B$4:$B$22,V$3)*N(Aliments!$F$4),0)</f>
        <v>0</v>
      </c>
      <c r="W13" s="15">
        <f>SUM(B13:V13)</f>
        <v>1543</v>
      </c>
    </row>
    <row r="14" spans="1:23" outlineLevel="1" x14ac:dyDescent="0.2">
      <c r="A14" s="30" t="str">
        <f>"   dont sacs "&amp;Aliments!$A$5</f>
        <v xml:space="preserve">   dont sacs 3 mm</v>
      </c>
      <c r="B14" s="13">
        <f>ROUND(SUMIFS('Aliment par vague'!$E$4:$E$22,Empoissonnement!$B$4:$B$22,B$3)*N(Aliments!$F$5),0)</f>
        <v>14</v>
      </c>
      <c r="C14" s="13">
        <f>ROUND(SUMIFS('Aliment par vague'!$E$4:$E$22,Empoissonnement!$B$4:$B$22,C$3)*N(Aliments!$F$5),0)</f>
        <v>14</v>
      </c>
      <c r="D14" s="13">
        <f>ROUND(SUMIFS('Aliment par vague'!$E$4:$E$22,Empoissonnement!$B$4:$B$22,D$3)*N(Aliments!$F$5),0)</f>
        <v>29</v>
      </c>
      <c r="E14" s="13">
        <f>ROUND(SUMIFS('Aliment par vague'!$E$4:$E$22,Empoissonnement!$B$4:$B$22,E$3)*N(Aliments!$F$5),0)</f>
        <v>29</v>
      </c>
      <c r="F14" s="13">
        <f>ROUND(SUMIFS('Aliment par vague'!$E$4:$E$22,Empoissonnement!$B$4:$B$22,F$3)*N(Aliments!$F$5),0)</f>
        <v>36</v>
      </c>
      <c r="G14" s="13">
        <f>ROUND(SUMIFS('Aliment par vague'!$E$4:$E$22,Empoissonnement!$B$4:$B$22,G$3)*N(Aliments!$F$5),0)</f>
        <v>43</v>
      </c>
      <c r="H14" s="13">
        <f>ROUND(SUMIFS('Aliment par vague'!$E$4:$E$22,Empoissonnement!$B$4:$B$22,H$3)*N(Aliments!$F$5),0)</f>
        <v>54</v>
      </c>
      <c r="I14" s="13">
        <f>ROUND(SUMIFS('Aliment par vague'!$E$4:$E$22,Empoissonnement!$B$4:$B$22,I$3)*N(Aliments!$F$5),0)</f>
        <v>54</v>
      </c>
      <c r="J14" s="13">
        <f>ROUND(SUMIFS('Aliment par vague'!$E$4:$E$22,Empoissonnement!$B$4:$B$22,J$3)*N(Aliments!$F$5),0)</f>
        <v>54</v>
      </c>
      <c r="K14" s="13">
        <f>ROUND(SUMIFS('Aliment par vague'!$E$4:$E$22,Empoissonnement!$B$4:$B$22,K$3)*N(Aliments!$F$5),0)</f>
        <v>54</v>
      </c>
      <c r="L14" s="13">
        <f>ROUND(SUMIFS('Aliment par vague'!$E$4:$E$22,Empoissonnement!$B$4:$B$22,L$3)*N(Aliments!$F$5),0)</f>
        <v>54</v>
      </c>
      <c r="M14" s="13">
        <f>ROUND(SUMIFS('Aliment par vague'!$E$4:$E$22,Empoissonnement!$B$4:$B$22,M$3)*N(Aliments!$F$5),0)</f>
        <v>54</v>
      </c>
      <c r="N14" s="13">
        <f>ROUND(SUMIFS('Aliment par vague'!$E$4:$E$22,Empoissonnement!$B$4:$B$22,N$3)*N(Aliments!$F$5),0)</f>
        <v>54</v>
      </c>
      <c r="O14" s="13">
        <f>ROUND(SUMIFS('Aliment par vague'!$E$4:$E$22,Empoissonnement!$B$4:$B$22,O$3)*N(Aliments!$F$5),0)</f>
        <v>54</v>
      </c>
      <c r="P14" s="13">
        <f>ROUND(SUMIFS('Aliment par vague'!$E$4:$E$22,Empoissonnement!$B$4:$B$22,P$3)*N(Aliments!$F$5),0)</f>
        <v>54</v>
      </c>
      <c r="Q14" s="13">
        <f>ROUND(SUMIFS('Aliment par vague'!$E$4:$E$22,Empoissonnement!$B$4:$B$22,Q$3)*N(Aliments!$F$5),0)</f>
        <v>54</v>
      </c>
      <c r="R14" s="13">
        <f>ROUND(SUMIFS('Aliment par vague'!$E$4:$E$22,Empoissonnement!$B$4:$B$22,R$3)*N(Aliments!$F$5),0)</f>
        <v>54</v>
      </c>
      <c r="S14" s="13">
        <f>ROUND(SUMIFS('Aliment par vague'!$E$4:$E$22,Empoissonnement!$B$4:$B$22,S$3)*N(Aliments!$F$5),0)</f>
        <v>54</v>
      </c>
      <c r="T14" s="13">
        <f>ROUND(SUMIFS('Aliment par vague'!$E$4:$E$22,Empoissonnement!$B$4:$B$22,T$3)*N(Aliments!$F$5),0)</f>
        <v>54</v>
      </c>
      <c r="U14" s="13">
        <f>ROUND(SUMIFS('Aliment par vague'!$E$4:$E$22,Empoissonnement!$B$4:$B$22,U$3)*N(Aliments!$F$5),0)</f>
        <v>0</v>
      </c>
      <c r="V14" s="13">
        <f>ROUND(SUMIFS('Aliment par vague'!$E$4:$E$22,Empoissonnement!$B$4:$B$22,V$3)*N(Aliments!$F$5),0)</f>
        <v>0</v>
      </c>
      <c r="W14" s="15">
        <f>SUM(B14:V14)</f>
        <v>867</v>
      </c>
    </row>
    <row r="15" spans="1:23" outlineLevel="1" x14ac:dyDescent="0.2">
      <c r="A15" s="30" t="str">
        <f>"   dont sacs "&amp;Aliments!$A$6</f>
        <v xml:space="preserve">   dont sacs 4 mm</v>
      </c>
      <c r="B15" s="13">
        <f>ROUND(SUMIFS('Aliment par vague'!$F$4:$F$22,Empoissonnement!$B$4:$B$22,B$3)*N(Aliments!$F$6),0)</f>
        <v>0</v>
      </c>
      <c r="C15" s="13">
        <f>ROUND(SUMIFS('Aliment par vague'!$F$4:$F$22,Empoissonnement!$B$4:$B$22,C$3)*N(Aliments!$F$6),0)</f>
        <v>0</v>
      </c>
      <c r="D15" s="13">
        <f>ROUND(SUMIFS('Aliment par vague'!$F$4:$F$22,Empoissonnement!$B$4:$B$22,D$3)*N(Aliments!$F$6),0)</f>
        <v>0</v>
      </c>
      <c r="E15" s="13">
        <f>ROUND(SUMIFS('Aliment par vague'!$F$4:$F$22,Empoissonnement!$B$4:$B$22,E$3)*N(Aliments!$F$6),0)</f>
        <v>0</v>
      </c>
      <c r="F15" s="13">
        <f>ROUND(SUMIFS('Aliment par vague'!$F$4:$F$22,Empoissonnement!$B$4:$B$22,F$3)*N(Aliments!$F$6),0)</f>
        <v>0</v>
      </c>
      <c r="G15" s="13">
        <f>ROUND(SUMIFS('Aliment par vague'!$F$4:$F$22,Empoissonnement!$B$4:$B$22,G$3)*N(Aliments!$F$6),0)</f>
        <v>0</v>
      </c>
      <c r="H15" s="13">
        <f>ROUND(SUMIFS('Aliment par vague'!$F$4:$F$22,Empoissonnement!$B$4:$B$22,H$3)*N(Aliments!$F$6),0)</f>
        <v>0</v>
      </c>
      <c r="I15" s="13">
        <f>ROUND(SUMIFS('Aliment par vague'!$F$4:$F$22,Empoissonnement!$B$4:$B$22,I$3)*N(Aliments!$F$6),0)</f>
        <v>0</v>
      </c>
      <c r="J15" s="13">
        <f>ROUND(SUMIFS('Aliment par vague'!$F$4:$F$22,Empoissonnement!$B$4:$B$22,J$3)*N(Aliments!$F$6),0)</f>
        <v>0</v>
      </c>
      <c r="K15" s="13">
        <f>ROUND(SUMIFS('Aliment par vague'!$F$4:$F$22,Empoissonnement!$B$4:$B$22,K$3)*N(Aliments!$F$6),0)</f>
        <v>0</v>
      </c>
      <c r="L15" s="13">
        <f>ROUND(SUMIFS('Aliment par vague'!$F$4:$F$22,Empoissonnement!$B$4:$B$22,L$3)*N(Aliments!$F$6),0)</f>
        <v>0</v>
      </c>
      <c r="M15" s="13">
        <f>ROUND(SUMIFS('Aliment par vague'!$F$4:$F$22,Empoissonnement!$B$4:$B$22,M$3)*N(Aliments!$F$6),0)</f>
        <v>0</v>
      </c>
      <c r="N15" s="13">
        <f>ROUND(SUMIFS('Aliment par vague'!$F$4:$F$22,Empoissonnement!$B$4:$B$22,N$3)*N(Aliments!$F$6),0)</f>
        <v>0</v>
      </c>
      <c r="O15" s="13">
        <f>ROUND(SUMIFS('Aliment par vague'!$F$4:$F$22,Empoissonnement!$B$4:$B$22,O$3)*N(Aliments!$F$6),0)</f>
        <v>0</v>
      </c>
      <c r="P15" s="13">
        <f>ROUND(SUMIFS('Aliment par vague'!$F$4:$F$22,Empoissonnement!$B$4:$B$22,P$3)*N(Aliments!$F$6),0)</f>
        <v>0</v>
      </c>
      <c r="Q15" s="13">
        <f>ROUND(SUMIFS('Aliment par vague'!$F$4:$F$22,Empoissonnement!$B$4:$B$22,Q$3)*N(Aliments!$F$6),0)</f>
        <v>0</v>
      </c>
      <c r="R15" s="13">
        <f>ROUND(SUMIFS('Aliment par vague'!$F$4:$F$22,Empoissonnement!$B$4:$B$22,R$3)*N(Aliments!$F$6),0)</f>
        <v>0</v>
      </c>
      <c r="S15" s="13">
        <f>ROUND(SUMIFS('Aliment par vague'!$F$4:$F$22,Empoissonnement!$B$4:$B$22,S$3)*N(Aliments!$F$6),0)</f>
        <v>0</v>
      </c>
      <c r="T15" s="13">
        <f>ROUND(SUMIFS('Aliment par vague'!$F$4:$F$22,Empoissonnement!$B$4:$B$22,T$3)*N(Aliments!$F$6),0)</f>
        <v>0</v>
      </c>
      <c r="U15" s="13">
        <f>ROUND(SUMIFS('Aliment par vague'!$F$4:$F$22,Empoissonnement!$B$4:$B$22,U$3)*N(Aliments!$F$6),0)</f>
        <v>0</v>
      </c>
      <c r="V15" s="13">
        <f>ROUND(SUMIFS('Aliment par vague'!$F$4:$F$22,Empoissonnement!$B$4:$B$22,V$3)*N(Aliments!$F$6),0)</f>
        <v>0</v>
      </c>
      <c r="W15" s="15">
        <f>SUM(B15:V15)</f>
        <v>0</v>
      </c>
    </row>
    <row r="16" spans="1:23" outlineLevel="1" x14ac:dyDescent="0.2">
      <c r="A16" s="30" t="s">
        <v>144</v>
      </c>
      <c r="B16" s="37" t="str">
        <f>IFERROR(INDEX(Empoissonnement!$A$4:$A$22,MATCH(B$37,Empoissonnement!$B$4:$B$22,0)),"—")</f>
        <v>—</v>
      </c>
      <c r="C16" s="37" t="str">
        <f>IFERROR(INDEX(Empoissonnement!$A$4:$A$22,MATCH(C$37,Empoissonnement!$B$4:$B$22,0)),"—")</f>
        <v>V1</v>
      </c>
      <c r="D16" s="37" t="str">
        <f>IFERROR(INDEX(Empoissonnement!$A$4:$A$22,MATCH(D$37,Empoissonnement!$B$4:$B$22,0)),"—")</f>
        <v>V2</v>
      </c>
      <c r="E16" s="37" t="str">
        <f>IFERROR(INDEX(Empoissonnement!$A$4:$A$22,MATCH(E$37,Empoissonnement!$B$4:$B$22,0)),"—")</f>
        <v>V3</v>
      </c>
      <c r="F16" s="37" t="str">
        <f>IFERROR(INDEX(Empoissonnement!$A$4:$A$22,MATCH(F$37,Empoissonnement!$B$4:$B$22,0)),"—")</f>
        <v>V4</v>
      </c>
      <c r="G16" s="37" t="str">
        <f>IFERROR(INDEX(Empoissonnement!$A$4:$A$22,MATCH(G$37,Empoissonnement!$B$4:$B$22,0)),"—")</f>
        <v>V5</v>
      </c>
      <c r="H16" s="37" t="str">
        <f>IFERROR(INDEX(Empoissonnement!$A$4:$A$22,MATCH(H$37,Empoissonnement!$B$4:$B$22,0)),"—")</f>
        <v>V6</v>
      </c>
      <c r="I16" s="37" t="str">
        <f>IFERROR(INDEX(Empoissonnement!$A$4:$A$22,MATCH(I$37,Empoissonnement!$B$4:$B$22,0)),"—")</f>
        <v>V7</v>
      </c>
      <c r="J16" s="37" t="str">
        <f>IFERROR(INDEX(Empoissonnement!$A$4:$A$22,MATCH(J$37,Empoissonnement!$B$4:$B$22,0)),"—")</f>
        <v>V8</v>
      </c>
      <c r="K16" s="37" t="str">
        <f>IFERROR(INDEX(Empoissonnement!$A$4:$A$22,MATCH(K$37,Empoissonnement!$B$4:$B$22,0)),"—")</f>
        <v>V9</v>
      </c>
      <c r="L16" s="37" t="str">
        <f>IFERROR(INDEX(Empoissonnement!$A$4:$A$22,MATCH(L$37,Empoissonnement!$B$4:$B$22,0)),"—")</f>
        <v>V10</v>
      </c>
      <c r="M16" s="37" t="str">
        <f>IFERROR(INDEX(Empoissonnement!$A$4:$A$22,MATCH(M$37,Empoissonnement!$B$4:$B$22,0)),"—")</f>
        <v>V11</v>
      </c>
      <c r="N16" s="37" t="str">
        <f>IFERROR(INDEX(Empoissonnement!$A$4:$A$22,MATCH(N$37,Empoissonnement!$B$4:$B$22,0)),"—")</f>
        <v>V12</v>
      </c>
      <c r="O16" s="37" t="str">
        <f>IFERROR(INDEX(Empoissonnement!$A$4:$A$22,MATCH(O$37,Empoissonnement!$B$4:$B$22,0)),"—")</f>
        <v>V13</v>
      </c>
      <c r="P16" s="37" t="str">
        <f>IFERROR(INDEX(Empoissonnement!$A$4:$A$22,MATCH(P$37,Empoissonnement!$B$4:$B$22,0)),"—")</f>
        <v>V14</v>
      </c>
      <c r="Q16" s="37" t="str">
        <f>IFERROR(INDEX(Empoissonnement!$A$4:$A$22,MATCH(Q$37,Empoissonnement!$B$4:$B$22,0)),"—")</f>
        <v>V15</v>
      </c>
      <c r="R16" s="37" t="str">
        <f>IFERROR(INDEX(Empoissonnement!$A$4:$A$22,MATCH(R$37,Empoissonnement!$B$4:$B$22,0)),"—")</f>
        <v>V16</v>
      </c>
      <c r="S16" s="37" t="str">
        <f>IFERROR(INDEX(Empoissonnement!$A$4:$A$22,MATCH(S$37,Empoissonnement!$B$4:$B$22,0)),"—")</f>
        <v>V17</v>
      </c>
      <c r="T16" s="37" t="str">
        <f>IFERROR(INDEX(Empoissonnement!$A$4:$A$22,MATCH(T$37,Empoissonnement!$B$4:$B$22,0)),"—")</f>
        <v>V18</v>
      </c>
      <c r="U16" s="37" t="str">
        <f>IFERROR(INDEX(Empoissonnement!$A$4:$A$22,MATCH(U$37,Empoissonnement!$B$4:$B$22,0)),"—")</f>
        <v>V19</v>
      </c>
      <c r="V16" s="37" t="str">
        <f>IFERROR(INDEX(Empoissonnement!$A$4:$A$22,MATCH(V$37,Empoissonnement!$B$4:$B$22,0)),"—")</f>
        <v>—</v>
      </c>
      <c r="W16" s="38"/>
    </row>
    <row r="17" spans="1:23" outlineLevel="1" x14ac:dyDescent="0.2">
      <c r="A17" s="30" t="str">
        <f>"   dont sacs "&amp;Aliments!$A$4</f>
        <v xml:space="preserve">   dont sacs 2 mm</v>
      </c>
      <c r="B17" s="13">
        <f>ROUND(SUMIFS('Aliment par vague'!$D$4:$D$22,Empoissonnement!$B$4:$B$22,B$37)*N(Aliments!$G$4),0)</f>
        <v>0</v>
      </c>
      <c r="C17" s="13">
        <f>ROUND(SUMIFS('Aliment par vague'!$D$4:$D$22,Empoissonnement!$B$4:$B$22,C$37)*N(Aliments!$G$4),0)</f>
        <v>6</v>
      </c>
      <c r="D17" s="13">
        <f>ROUND(SUMIFS('Aliment par vague'!$D$4:$D$22,Empoissonnement!$B$4:$B$22,D$37)*N(Aliments!$G$4),0)</f>
        <v>6</v>
      </c>
      <c r="E17" s="13">
        <f>ROUND(SUMIFS('Aliment par vague'!$D$4:$D$22,Empoissonnement!$B$4:$B$22,E$37)*N(Aliments!$G$4),0)</f>
        <v>13</v>
      </c>
      <c r="F17" s="13">
        <f>ROUND(SUMIFS('Aliment par vague'!$D$4:$D$22,Empoissonnement!$B$4:$B$22,F$37)*N(Aliments!$G$4),0)</f>
        <v>13</v>
      </c>
      <c r="G17" s="13">
        <f>ROUND(SUMIFS('Aliment par vague'!$D$4:$D$22,Empoissonnement!$B$4:$B$22,G$37)*N(Aliments!$G$4),0)</f>
        <v>16</v>
      </c>
      <c r="H17" s="13">
        <f>ROUND(SUMIFS('Aliment par vague'!$D$4:$D$22,Empoissonnement!$B$4:$B$22,H$37)*N(Aliments!$G$4),0)</f>
        <v>19</v>
      </c>
      <c r="I17" s="13">
        <f>ROUND(SUMIFS('Aliment par vague'!$D$4:$D$22,Empoissonnement!$B$4:$B$22,I$37)*N(Aliments!$G$4),0)</f>
        <v>24</v>
      </c>
      <c r="J17" s="13">
        <f>ROUND(SUMIFS('Aliment par vague'!$D$4:$D$22,Empoissonnement!$B$4:$B$22,J$37)*N(Aliments!$G$4),0)</f>
        <v>24</v>
      </c>
      <c r="K17" s="13">
        <f>ROUND(SUMIFS('Aliment par vague'!$D$4:$D$22,Empoissonnement!$B$4:$B$22,K$37)*N(Aliments!$G$4),0)</f>
        <v>24</v>
      </c>
      <c r="L17" s="13">
        <f>ROUND(SUMIFS('Aliment par vague'!$D$4:$D$22,Empoissonnement!$B$4:$B$22,L$37)*N(Aliments!$G$4),0)</f>
        <v>24</v>
      </c>
      <c r="M17" s="13">
        <f>ROUND(SUMIFS('Aliment par vague'!$D$4:$D$22,Empoissonnement!$B$4:$B$22,M$37)*N(Aliments!$G$4),0)</f>
        <v>24</v>
      </c>
      <c r="N17" s="13">
        <f>ROUND(SUMIFS('Aliment par vague'!$D$4:$D$22,Empoissonnement!$B$4:$B$22,N$37)*N(Aliments!$G$4),0)</f>
        <v>24</v>
      </c>
      <c r="O17" s="13">
        <f>ROUND(SUMIFS('Aliment par vague'!$D$4:$D$22,Empoissonnement!$B$4:$B$22,O$37)*N(Aliments!$G$4),0)</f>
        <v>24</v>
      </c>
      <c r="P17" s="13">
        <f>ROUND(SUMIFS('Aliment par vague'!$D$4:$D$22,Empoissonnement!$B$4:$B$22,P$37)*N(Aliments!$G$4),0)</f>
        <v>24</v>
      </c>
      <c r="Q17" s="13">
        <f>ROUND(SUMIFS('Aliment par vague'!$D$4:$D$22,Empoissonnement!$B$4:$B$22,Q$37)*N(Aliments!$G$4),0)</f>
        <v>24</v>
      </c>
      <c r="R17" s="13">
        <f>ROUND(SUMIFS('Aliment par vague'!$D$4:$D$22,Empoissonnement!$B$4:$B$22,R$37)*N(Aliments!$G$4),0)</f>
        <v>24</v>
      </c>
      <c r="S17" s="13">
        <f>ROUND(SUMIFS('Aliment par vague'!$D$4:$D$22,Empoissonnement!$B$4:$B$22,S$37)*N(Aliments!$G$4),0)</f>
        <v>24</v>
      </c>
      <c r="T17" s="13">
        <f>ROUND(SUMIFS('Aliment par vague'!$D$4:$D$22,Empoissonnement!$B$4:$B$22,T$37)*N(Aliments!$G$4),0)</f>
        <v>24</v>
      </c>
      <c r="U17" s="13">
        <f>ROUND(SUMIFS('Aliment par vague'!$D$4:$D$22,Empoissonnement!$B$4:$B$22,U$37)*N(Aliments!$G$4),0)</f>
        <v>24</v>
      </c>
      <c r="V17" s="13">
        <f>ROUND(SUMIFS('Aliment par vague'!$D$4:$D$22,Empoissonnement!$B$4:$B$22,V$37)*N(Aliments!$G$4),0)</f>
        <v>0</v>
      </c>
      <c r="W17" s="15">
        <f>SUM(B17:V17)</f>
        <v>385</v>
      </c>
    </row>
    <row r="18" spans="1:23" outlineLevel="1" x14ac:dyDescent="0.2">
      <c r="A18" s="30" t="str">
        <f>"   dont sacs "&amp;Aliments!$A$5</f>
        <v xml:space="preserve">   dont sacs 3 mm</v>
      </c>
      <c r="B18" s="13">
        <f>ROUND(SUMIFS('Aliment par vague'!$E$4:$E$22,Empoissonnement!$B$4:$B$22,B$37)*N(Aliments!$G$5),0)</f>
        <v>0</v>
      </c>
      <c r="C18" s="13">
        <f>ROUND(SUMIFS('Aliment par vague'!$E$4:$E$22,Empoissonnement!$B$4:$B$22,C$37)*N(Aliments!$G$5),0)</f>
        <v>58</v>
      </c>
      <c r="D18" s="13">
        <f>ROUND(SUMIFS('Aliment par vague'!$E$4:$E$22,Empoissonnement!$B$4:$B$22,D$37)*N(Aliments!$G$5),0)</f>
        <v>58</v>
      </c>
      <c r="E18" s="13">
        <f>ROUND(SUMIFS('Aliment par vague'!$E$4:$E$22,Empoissonnement!$B$4:$B$22,E$37)*N(Aliments!$G$5),0)</f>
        <v>115</v>
      </c>
      <c r="F18" s="13">
        <f>ROUND(SUMIFS('Aliment par vague'!$E$4:$E$22,Empoissonnement!$B$4:$B$22,F$37)*N(Aliments!$G$5),0)</f>
        <v>115</v>
      </c>
      <c r="G18" s="13">
        <f>ROUND(SUMIFS('Aliment par vague'!$E$4:$E$22,Empoissonnement!$B$4:$B$22,G$37)*N(Aliments!$G$5),0)</f>
        <v>144</v>
      </c>
      <c r="H18" s="13">
        <f>ROUND(SUMIFS('Aliment par vague'!$E$4:$E$22,Empoissonnement!$B$4:$B$22,H$37)*N(Aliments!$G$5),0)</f>
        <v>173</v>
      </c>
      <c r="I18" s="13">
        <f>ROUND(SUMIFS('Aliment par vague'!$E$4:$E$22,Empoissonnement!$B$4:$B$22,I$37)*N(Aliments!$G$5),0)</f>
        <v>216</v>
      </c>
      <c r="J18" s="13">
        <f>ROUND(SUMIFS('Aliment par vague'!$E$4:$E$22,Empoissonnement!$B$4:$B$22,J$37)*N(Aliments!$G$5),0)</f>
        <v>216</v>
      </c>
      <c r="K18" s="13">
        <f>ROUND(SUMIFS('Aliment par vague'!$E$4:$E$22,Empoissonnement!$B$4:$B$22,K$37)*N(Aliments!$G$5),0)</f>
        <v>216</v>
      </c>
      <c r="L18" s="13">
        <f>ROUND(SUMIFS('Aliment par vague'!$E$4:$E$22,Empoissonnement!$B$4:$B$22,L$37)*N(Aliments!$G$5),0)</f>
        <v>216</v>
      </c>
      <c r="M18" s="13">
        <f>ROUND(SUMIFS('Aliment par vague'!$E$4:$E$22,Empoissonnement!$B$4:$B$22,M$37)*N(Aliments!$G$5),0)</f>
        <v>216</v>
      </c>
      <c r="N18" s="13">
        <f>ROUND(SUMIFS('Aliment par vague'!$E$4:$E$22,Empoissonnement!$B$4:$B$22,N$37)*N(Aliments!$G$5),0)</f>
        <v>216</v>
      </c>
      <c r="O18" s="13">
        <f>ROUND(SUMIFS('Aliment par vague'!$E$4:$E$22,Empoissonnement!$B$4:$B$22,O$37)*N(Aliments!$G$5),0)</f>
        <v>216</v>
      </c>
      <c r="P18" s="13">
        <f>ROUND(SUMIFS('Aliment par vague'!$E$4:$E$22,Empoissonnement!$B$4:$B$22,P$37)*N(Aliments!$G$5),0)</f>
        <v>216</v>
      </c>
      <c r="Q18" s="13">
        <f>ROUND(SUMIFS('Aliment par vague'!$E$4:$E$22,Empoissonnement!$B$4:$B$22,Q$37)*N(Aliments!$G$5),0)</f>
        <v>216</v>
      </c>
      <c r="R18" s="13">
        <f>ROUND(SUMIFS('Aliment par vague'!$E$4:$E$22,Empoissonnement!$B$4:$B$22,R$37)*N(Aliments!$G$5),0)</f>
        <v>216</v>
      </c>
      <c r="S18" s="13">
        <f>ROUND(SUMIFS('Aliment par vague'!$E$4:$E$22,Empoissonnement!$B$4:$B$22,S$37)*N(Aliments!$G$5),0)</f>
        <v>216</v>
      </c>
      <c r="T18" s="13">
        <f>ROUND(SUMIFS('Aliment par vague'!$E$4:$E$22,Empoissonnement!$B$4:$B$22,T$37)*N(Aliments!$G$5),0)</f>
        <v>216</v>
      </c>
      <c r="U18" s="13">
        <f>ROUND(SUMIFS('Aliment par vague'!$E$4:$E$22,Empoissonnement!$B$4:$B$22,U$37)*N(Aliments!$G$5),0)</f>
        <v>216</v>
      </c>
      <c r="V18" s="13">
        <f>ROUND(SUMIFS('Aliment par vague'!$E$4:$E$22,Empoissonnement!$B$4:$B$22,V$37)*N(Aliments!$G$5),0)</f>
        <v>0</v>
      </c>
      <c r="W18" s="15">
        <f>SUM(B18:V18)</f>
        <v>3471</v>
      </c>
    </row>
    <row r="19" spans="1:23" outlineLevel="1" x14ac:dyDescent="0.2">
      <c r="A19" s="30" t="str">
        <f>"   dont sacs "&amp;Aliments!$A$6</f>
        <v xml:space="preserve">   dont sacs 4 mm</v>
      </c>
      <c r="B19" s="13">
        <f>ROUND(SUMIFS('Aliment par vague'!$F$4:$F$22,Empoissonnement!$B$4:$B$22,B$37)*N(Aliments!$G$6),0)</f>
        <v>0</v>
      </c>
      <c r="C19" s="13">
        <f>ROUND(SUMIFS('Aliment par vague'!$F$4:$F$22,Empoissonnement!$B$4:$B$22,C$37)*N(Aliments!$G$6),0)</f>
        <v>80</v>
      </c>
      <c r="D19" s="13">
        <f>ROUND(SUMIFS('Aliment par vague'!$F$4:$F$22,Empoissonnement!$B$4:$B$22,D$37)*N(Aliments!$G$6),0)</f>
        <v>80</v>
      </c>
      <c r="E19" s="13">
        <f>ROUND(SUMIFS('Aliment par vague'!$F$4:$F$22,Empoissonnement!$B$4:$B$22,E$37)*N(Aliments!$G$6),0)</f>
        <v>160</v>
      </c>
      <c r="F19" s="13">
        <f>ROUND(SUMIFS('Aliment par vague'!$F$4:$F$22,Empoissonnement!$B$4:$B$22,F$37)*N(Aliments!$G$6),0)</f>
        <v>160</v>
      </c>
      <c r="G19" s="13">
        <f>ROUND(SUMIFS('Aliment par vague'!$F$4:$F$22,Empoissonnement!$B$4:$B$22,G$37)*N(Aliments!$G$6),0)</f>
        <v>200</v>
      </c>
      <c r="H19" s="13">
        <f>ROUND(SUMIFS('Aliment par vague'!$F$4:$F$22,Empoissonnement!$B$4:$B$22,H$37)*N(Aliments!$G$6),0)</f>
        <v>240</v>
      </c>
      <c r="I19" s="13">
        <f>ROUND(SUMIFS('Aliment par vague'!$F$4:$F$22,Empoissonnement!$B$4:$B$22,I$37)*N(Aliments!$G$6),0)</f>
        <v>300</v>
      </c>
      <c r="J19" s="13">
        <f>ROUND(SUMIFS('Aliment par vague'!$F$4:$F$22,Empoissonnement!$B$4:$B$22,J$37)*N(Aliments!$G$6),0)</f>
        <v>300</v>
      </c>
      <c r="K19" s="13">
        <f>ROUND(SUMIFS('Aliment par vague'!$F$4:$F$22,Empoissonnement!$B$4:$B$22,K$37)*N(Aliments!$G$6),0)</f>
        <v>300</v>
      </c>
      <c r="L19" s="13">
        <f>ROUND(SUMIFS('Aliment par vague'!$F$4:$F$22,Empoissonnement!$B$4:$B$22,L$37)*N(Aliments!$G$6),0)</f>
        <v>300</v>
      </c>
      <c r="M19" s="13">
        <f>ROUND(SUMIFS('Aliment par vague'!$F$4:$F$22,Empoissonnement!$B$4:$B$22,M$37)*N(Aliments!$G$6),0)</f>
        <v>300</v>
      </c>
      <c r="N19" s="13">
        <f>ROUND(SUMIFS('Aliment par vague'!$F$4:$F$22,Empoissonnement!$B$4:$B$22,N$37)*N(Aliments!$G$6),0)</f>
        <v>300</v>
      </c>
      <c r="O19" s="13">
        <f>ROUND(SUMIFS('Aliment par vague'!$F$4:$F$22,Empoissonnement!$B$4:$B$22,O$37)*N(Aliments!$G$6),0)</f>
        <v>300</v>
      </c>
      <c r="P19" s="13">
        <f>ROUND(SUMIFS('Aliment par vague'!$F$4:$F$22,Empoissonnement!$B$4:$B$22,P$37)*N(Aliments!$G$6),0)</f>
        <v>300</v>
      </c>
      <c r="Q19" s="13">
        <f>ROUND(SUMIFS('Aliment par vague'!$F$4:$F$22,Empoissonnement!$B$4:$B$22,Q$37)*N(Aliments!$G$6),0)</f>
        <v>300</v>
      </c>
      <c r="R19" s="13">
        <f>ROUND(SUMIFS('Aliment par vague'!$F$4:$F$22,Empoissonnement!$B$4:$B$22,R$37)*N(Aliments!$G$6),0)</f>
        <v>300</v>
      </c>
      <c r="S19" s="13">
        <f>ROUND(SUMIFS('Aliment par vague'!$F$4:$F$22,Empoissonnement!$B$4:$B$22,S$37)*N(Aliments!$G$6),0)</f>
        <v>300</v>
      </c>
      <c r="T19" s="13">
        <f>ROUND(SUMIFS('Aliment par vague'!$F$4:$F$22,Empoissonnement!$B$4:$B$22,T$37)*N(Aliments!$G$6),0)</f>
        <v>300</v>
      </c>
      <c r="U19" s="13">
        <f>ROUND(SUMIFS('Aliment par vague'!$F$4:$F$22,Empoissonnement!$B$4:$B$22,U$37)*N(Aliments!$G$6),0)</f>
        <v>300</v>
      </c>
      <c r="V19" s="13">
        <f>ROUND(SUMIFS('Aliment par vague'!$F$4:$F$22,Empoissonnement!$B$4:$B$22,V$37)*N(Aliments!$G$6),0)</f>
        <v>0</v>
      </c>
      <c r="W19" s="15">
        <f>SUM(B19:V19)</f>
        <v>4820</v>
      </c>
    </row>
    <row r="20" spans="1:23" outlineLevel="1" x14ac:dyDescent="0.2">
      <c r="A20" s="30" t="s">
        <v>145</v>
      </c>
      <c r="B20" s="37" t="str">
        <f>IFERROR(INDEX(Empoissonnement!$A$4:$A$22,MATCH(B$38,Empoissonnement!$B$4:$B$22,0)),"—")</f>
        <v>—</v>
      </c>
      <c r="C20" s="37" t="str">
        <f>IFERROR(INDEX(Empoissonnement!$A$4:$A$22,MATCH(C$38,Empoissonnement!$B$4:$B$22,0)),"—")</f>
        <v>—</v>
      </c>
      <c r="D20" s="37" t="str">
        <f>IFERROR(INDEX(Empoissonnement!$A$4:$A$22,MATCH(D$38,Empoissonnement!$B$4:$B$22,0)),"—")</f>
        <v>V1</v>
      </c>
      <c r="E20" s="37" t="str">
        <f>IFERROR(INDEX(Empoissonnement!$A$4:$A$22,MATCH(E$38,Empoissonnement!$B$4:$B$22,0)),"—")</f>
        <v>V2</v>
      </c>
      <c r="F20" s="37" t="str">
        <f>IFERROR(INDEX(Empoissonnement!$A$4:$A$22,MATCH(F$38,Empoissonnement!$B$4:$B$22,0)),"—")</f>
        <v>V3</v>
      </c>
      <c r="G20" s="37" t="str">
        <f>IFERROR(INDEX(Empoissonnement!$A$4:$A$22,MATCH(G$38,Empoissonnement!$B$4:$B$22,0)),"—")</f>
        <v>V4</v>
      </c>
      <c r="H20" s="37" t="str">
        <f>IFERROR(INDEX(Empoissonnement!$A$4:$A$22,MATCH(H$38,Empoissonnement!$B$4:$B$22,0)),"—")</f>
        <v>V5</v>
      </c>
      <c r="I20" s="37" t="str">
        <f>IFERROR(INDEX(Empoissonnement!$A$4:$A$22,MATCH(I$38,Empoissonnement!$B$4:$B$22,0)),"—")</f>
        <v>V6</v>
      </c>
      <c r="J20" s="37" t="str">
        <f>IFERROR(INDEX(Empoissonnement!$A$4:$A$22,MATCH(J$38,Empoissonnement!$B$4:$B$22,0)),"—")</f>
        <v>V7</v>
      </c>
      <c r="K20" s="37" t="str">
        <f>IFERROR(INDEX(Empoissonnement!$A$4:$A$22,MATCH(K$38,Empoissonnement!$B$4:$B$22,0)),"—")</f>
        <v>V8</v>
      </c>
      <c r="L20" s="37" t="str">
        <f>IFERROR(INDEX(Empoissonnement!$A$4:$A$22,MATCH(L$38,Empoissonnement!$B$4:$B$22,0)),"—")</f>
        <v>V9</v>
      </c>
      <c r="M20" s="37" t="str">
        <f>IFERROR(INDEX(Empoissonnement!$A$4:$A$22,MATCH(M$38,Empoissonnement!$B$4:$B$22,0)),"—")</f>
        <v>V10</v>
      </c>
      <c r="N20" s="37" t="str">
        <f>IFERROR(INDEX(Empoissonnement!$A$4:$A$22,MATCH(N$38,Empoissonnement!$B$4:$B$22,0)),"—")</f>
        <v>V11</v>
      </c>
      <c r="O20" s="37" t="str">
        <f>IFERROR(INDEX(Empoissonnement!$A$4:$A$22,MATCH(O$38,Empoissonnement!$B$4:$B$22,0)),"—")</f>
        <v>V12</v>
      </c>
      <c r="P20" s="37" t="str">
        <f>IFERROR(INDEX(Empoissonnement!$A$4:$A$22,MATCH(P$38,Empoissonnement!$B$4:$B$22,0)),"—")</f>
        <v>V13</v>
      </c>
      <c r="Q20" s="37" t="str">
        <f>IFERROR(INDEX(Empoissonnement!$A$4:$A$22,MATCH(Q$38,Empoissonnement!$B$4:$B$22,0)),"—")</f>
        <v>V14</v>
      </c>
      <c r="R20" s="37" t="str">
        <f>IFERROR(INDEX(Empoissonnement!$A$4:$A$22,MATCH(R$38,Empoissonnement!$B$4:$B$22,0)),"—")</f>
        <v>V15</v>
      </c>
      <c r="S20" s="37" t="str">
        <f>IFERROR(INDEX(Empoissonnement!$A$4:$A$22,MATCH(S$38,Empoissonnement!$B$4:$B$22,0)),"—")</f>
        <v>V16</v>
      </c>
      <c r="T20" s="37" t="str">
        <f>IFERROR(INDEX(Empoissonnement!$A$4:$A$22,MATCH(T$38,Empoissonnement!$B$4:$B$22,0)),"—")</f>
        <v>V17</v>
      </c>
      <c r="U20" s="37" t="str">
        <f>IFERROR(INDEX(Empoissonnement!$A$4:$A$22,MATCH(U$38,Empoissonnement!$B$4:$B$22,0)),"—")</f>
        <v>V18</v>
      </c>
      <c r="V20" s="37" t="str">
        <f>IFERROR(INDEX(Empoissonnement!$A$4:$A$22,MATCH(V$38,Empoissonnement!$B$4:$B$22,0)),"—")</f>
        <v>V19</v>
      </c>
      <c r="W20" s="38"/>
    </row>
    <row r="21" spans="1:23" outlineLevel="1" x14ac:dyDescent="0.2">
      <c r="A21" s="30" t="str">
        <f>"   dont sacs "&amp;Aliments!$A$4</f>
        <v xml:space="preserve">   dont sacs 2 mm</v>
      </c>
      <c r="B21" s="13">
        <f>ROUND(SUMIFS('Aliment par vague'!$D$4:$D$22,Empoissonnement!$B$4:$B$22,B$38)*N(Aliments!$H$4),0)</f>
        <v>0</v>
      </c>
      <c r="C21" s="13">
        <f>ROUND(SUMIFS('Aliment par vague'!$D$4:$D$22,Empoissonnement!$B$4:$B$22,C$38)*N(Aliments!$H$4),0)</f>
        <v>0</v>
      </c>
      <c r="D21" s="13">
        <f>ROUND(SUMIFS('Aliment par vague'!$D$4:$D$22,Empoissonnement!$B$4:$B$22,D$38)*N(Aliments!$H$4),0)</f>
        <v>0</v>
      </c>
      <c r="E21" s="13">
        <f>ROUND(SUMIFS('Aliment par vague'!$D$4:$D$22,Empoissonnement!$B$4:$B$22,E$38)*N(Aliments!$H$4),0)</f>
        <v>0</v>
      </c>
      <c r="F21" s="13">
        <f>ROUND(SUMIFS('Aliment par vague'!$D$4:$D$22,Empoissonnement!$B$4:$B$22,F$38)*N(Aliments!$H$4),0)</f>
        <v>0</v>
      </c>
      <c r="G21" s="13">
        <f>ROUND(SUMIFS('Aliment par vague'!$D$4:$D$22,Empoissonnement!$B$4:$B$22,G$38)*N(Aliments!$H$4),0)</f>
        <v>0</v>
      </c>
      <c r="H21" s="13">
        <f>ROUND(SUMIFS('Aliment par vague'!$D$4:$D$22,Empoissonnement!$B$4:$B$22,H$38)*N(Aliments!$H$4),0)</f>
        <v>0</v>
      </c>
      <c r="I21" s="13">
        <f>ROUND(SUMIFS('Aliment par vague'!$D$4:$D$22,Empoissonnement!$B$4:$B$22,I$38)*N(Aliments!$H$4),0)</f>
        <v>0</v>
      </c>
      <c r="J21" s="13">
        <f>ROUND(SUMIFS('Aliment par vague'!$D$4:$D$22,Empoissonnement!$B$4:$B$22,J$38)*N(Aliments!$H$4),0)</f>
        <v>0</v>
      </c>
      <c r="K21" s="13">
        <f>ROUND(SUMIFS('Aliment par vague'!$D$4:$D$22,Empoissonnement!$B$4:$B$22,K$38)*N(Aliments!$H$4),0)</f>
        <v>0</v>
      </c>
      <c r="L21" s="13">
        <f>ROUND(SUMIFS('Aliment par vague'!$D$4:$D$22,Empoissonnement!$B$4:$B$22,L$38)*N(Aliments!$H$4),0)</f>
        <v>0</v>
      </c>
      <c r="M21" s="13">
        <f>ROUND(SUMIFS('Aliment par vague'!$D$4:$D$22,Empoissonnement!$B$4:$B$22,M$38)*N(Aliments!$H$4),0)</f>
        <v>0</v>
      </c>
      <c r="N21" s="13">
        <f>ROUND(SUMIFS('Aliment par vague'!$D$4:$D$22,Empoissonnement!$B$4:$B$22,N$38)*N(Aliments!$H$4),0)</f>
        <v>0</v>
      </c>
      <c r="O21" s="13">
        <f>ROUND(SUMIFS('Aliment par vague'!$D$4:$D$22,Empoissonnement!$B$4:$B$22,O$38)*N(Aliments!$H$4),0)</f>
        <v>0</v>
      </c>
      <c r="P21" s="13">
        <f>ROUND(SUMIFS('Aliment par vague'!$D$4:$D$22,Empoissonnement!$B$4:$B$22,P$38)*N(Aliments!$H$4),0)</f>
        <v>0</v>
      </c>
      <c r="Q21" s="13">
        <f>ROUND(SUMIFS('Aliment par vague'!$D$4:$D$22,Empoissonnement!$B$4:$B$22,Q$38)*N(Aliments!$H$4),0)</f>
        <v>0</v>
      </c>
      <c r="R21" s="13">
        <f>ROUND(SUMIFS('Aliment par vague'!$D$4:$D$22,Empoissonnement!$B$4:$B$22,R$38)*N(Aliments!$H$4),0)</f>
        <v>0</v>
      </c>
      <c r="S21" s="13">
        <f>ROUND(SUMIFS('Aliment par vague'!$D$4:$D$22,Empoissonnement!$B$4:$B$22,S$38)*N(Aliments!$H$4),0)</f>
        <v>0</v>
      </c>
      <c r="T21" s="13">
        <f>ROUND(SUMIFS('Aliment par vague'!$D$4:$D$22,Empoissonnement!$B$4:$B$22,T$38)*N(Aliments!$H$4),0)</f>
        <v>0</v>
      </c>
      <c r="U21" s="13">
        <f>ROUND(SUMIFS('Aliment par vague'!$D$4:$D$22,Empoissonnement!$B$4:$B$22,U$38)*N(Aliments!$H$4),0)</f>
        <v>0</v>
      </c>
      <c r="V21" s="13">
        <f>ROUND(SUMIFS('Aliment par vague'!$D$4:$D$22,Empoissonnement!$B$4:$B$22,V$38)*N(Aliments!$H$4),0)</f>
        <v>0</v>
      </c>
      <c r="W21" s="15">
        <f t="shared" ref="W21:W34" si="1">SUM(B21:V21)</f>
        <v>0</v>
      </c>
    </row>
    <row r="22" spans="1:23" outlineLevel="1" x14ac:dyDescent="0.2">
      <c r="A22" s="30" t="str">
        <f>"   dont sacs "&amp;Aliments!$A$5</f>
        <v xml:space="preserve">   dont sacs 3 mm</v>
      </c>
      <c r="B22" s="13">
        <f>ROUND(SUMIFS('Aliment par vague'!$E$4:$E$22,Empoissonnement!$B$4:$B$22,B$38)*N(Aliments!$H$5),0)</f>
        <v>0</v>
      </c>
      <c r="C22" s="13">
        <f>ROUND(SUMIFS('Aliment par vague'!$E$4:$E$22,Empoissonnement!$B$4:$B$22,C$38)*N(Aliments!$H$5),0)</f>
        <v>0</v>
      </c>
      <c r="D22" s="13">
        <f>ROUND(SUMIFS('Aliment par vague'!$E$4:$E$22,Empoissonnement!$B$4:$B$22,D$38)*N(Aliments!$H$5),0)</f>
        <v>0</v>
      </c>
      <c r="E22" s="13">
        <f>ROUND(SUMIFS('Aliment par vague'!$E$4:$E$22,Empoissonnement!$B$4:$B$22,E$38)*N(Aliments!$H$5),0)</f>
        <v>0</v>
      </c>
      <c r="F22" s="13">
        <f>ROUND(SUMIFS('Aliment par vague'!$E$4:$E$22,Empoissonnement!$B$4:$B$22,F$38)*N(Aliments!$H$5),0)</f>
        <v>0</v>
      </c>
      <c r="G22" s="13">
        <f>ROUND(SUMIFS('Aliment par vague'!$E$4:$E$22,Empoissonnement!$B$4:$B$22,G$38)*N(Aliments!$H$5),0)</f>
        <v>0</v>
      </c>
      <c r="H22" s="13">
        <f>ROUND(SUMIFS('Aliment par vague'!$E$4:$E$22,Empoissonnement!$B$4:$B$22,H$38)*N(Aliments!$H$5),0)</f>
        <v>0</v>
      </c>
      <c r="I22" s="13">
        <f>ROUND(SUMIFS('Aliment par vague'!$E$4:$E$22,Empoissonnement!$B$4:$B$22,I$38)*N(Aliments!$H$5),0)</f>
        <v>0</v>
      </c>
      <c r="J22" s="13">
        <f>ROUND(SUMIFS('Aliment par vague'!$E$4:$E$22,Empoissonnement!$B$4:$B$22,J$38)*N(Aliments!$H$5),0)</f>
        <v>0</v>
      </c>
      <c r="K22" s="13">
        <f>ROUND(SUMIFS('Aliment par vague'!$E$4:$E$22,Empoissonnement!$B$4:$B$22,K$38)*N(Aliments!$H$5),0)</f>
        <v>0</v>
      </c>
      <c r="L22" s="13">
        <f>ROUND(SUMIFS('Aliment par vague'!$E$4:$E$22,Empoissonnement!$B$4:$B$22,L$38)*N(Aliments!$H$5),0)</f>
        <v>0</v>
      </c>
      <c r="M22" s="13">
        <f>ROUND(SUMIFS('Aliment par vague'!$E$4:$E$22,Empoissonnement!$B$4:$B$22,M$38)*N(Aliments!$H$5),0)</f>
        <v>0</v>
      </c>
      <c r="N22" s="13">
        <f>ROUND(SUMIFS('Aliment par vague'!$E$4:$E$22,Empoissonnement!$B$4:$B$22,N$38)*N(Aliments!$H$5),0)</f>
        <v>0</v>
      </c>
      <c r="O22" s="13">
        <f>ROUND(SUMIFS('Aliment par vague'!$E$4:$E$22,Empoissonnement!$B$4:$B$22,O$38)*N(Aliments!$H$5),0)</f>
        <v>0</v>
      </c>
      <c r="P22" s="13">
        <f>ROUND(SUMIFS('Aliment par vague'!$E$4:$E$22,Empoissonnement!$B$4:$B$22,P$38)*N(Aliments!$H$5),0)</f>
        <v>0</v>
      </c>
      <c r="Q22" s="13">
        <f>ROUND(SUMIFS('Aliment par vague'!$E$4:$E$22,Empoissonnement!$B$4:$B$22,Q$38)*N(Aliments!$H$5),0)</f>
        <v>0</v>
      </c>
      <c r="R22" s="13">
        <f>ROUND(SUMIFS('Aliment par vague'!$E$4:$E$22,Empoissonnement!$B$4:$B$22,R$38)*N(Aliments!$H$5),0)</f>
        <v>0</v>
      </c>
      <c r="S22" s="13">
        <f>ROUND(SUMIFS('Aliment par vague'!$E$4:$E$22,Empoissonnement!$B$4:$B$22,S$38)*N(Aliments!$H$5),0)</f>
        <v>0</v>
      </c>
      <c r="T22" s="13">
        <f>ROUND(SUMIFS('Aliment par vague'!$E$4:$E$22,Empoissonnement!$B$4:$B$22,T$38)*N(Aliments!$H$5),0)</f>
        <v>0</v>
      </c>
      <c r="U22" s="13">
        <f>ROUND(SUMIFS('Aliment par vague'!$E$4:$E$22,Empoissonnement!$B$4:$B$22,U$38)*N(Aliments!$H$5),0)</f>
        <v>0</v>
      </c>
      <c r="V22" s="13">
        <f>ROUND(SUMIFS('Aliment par vague'!$E$4:$E$22,Empoissonnement!$B$4:$B$22,V$38)*N(Aliments!$H$5),0)</f>
        <v>0</v>
      </c>
      <c r="W22" s="15">
        <f t="shared" si="1"/>
        <v>0</v>
      </c>
    </row>
    <row r="23" spans="1:23" outlineLevel="1" x14ac:dyDescent="0.2">
      <c r="A23" s="30" t="str">
        <f>"   dont sacs "&amp;Aliments!$A$6</f>
        <v xml:space="preserve">   dont sacs 4 mm</v>
      </c>
      <c r="B23" s="13">
        <f>ROUND(SUMIFS('Aliment par vague'!$F$4:$F$22,Empoissonnement!$B$4:$B$22,B$38)*N(Aliments!$H$6),0)</f>
        <v>0</v>
      </c>
      <c r="C23" s="13">
        <f>ROUND(SUMIFS('Aliment par vague'!$F$4:$F$22,Empoissonnement!$B$4:$B$22,C$38)*N(Aliments!$H$6),0)</f>
        <v>0</v>
      </c>
      <c r="D23" s="13">
        <f>ROUND(SUMIFS('Aliment par vague'!$F$4:$F$22,Empoissonnement!$B$4:$B$22,D$38)*N(Aliments!$H$6),0)</f>
        <v>120</v>
      </c>
      <c r="E23" s="13">
        <f>ROUND(SUMIFS('Aliment par vague'!$F$4:$F$22,Empoissonnement!$B$4:$B$22,E$38)*N(Aliments!$H$6),0)</f>
        <v>120</v>
      </c>
      <c r="F23" s="13">
        <f>ROUND(SUMIFS('Aliment par vague'!$F$4:$F$22,Empoissonnement!$B$4:$B$22,F$38)*N(Aliments!$H$6),0)</f>
        <v>240</v>
      </c>
      <c r="G23" s="13">
        <f>ROUND(SUMIFS('Aliment par vague'!$F$4:$F$22,Empoissonnement!$B$4:$B$22,G$38)*N(Aliments!$H$6),0)</f>
        <v>240</v>
      </c>
      <c r="H23" s="13">
        <f>ROUND(SUMIFS('Aliment par vague'!$F$4:$F$22,Empoissonnement!$B$4:$B$22,H$38)*N(Aliments!$H$6),0)</f>
        <v>300</v>
      </c>
      <c r="I23" s="13">
        <f>ROUND(SUMIFS('Aliment par vague'!$F$4:$F$22,Empoissonnement!$B$4:$B$22,I$38)*N(Aliments!$H$6),0)</f>
        <v>360</v>
      </c>
      <c r="J23" s="13">
        <f>ROUND(SUMIFS('Aliment par vague'!$F$4:$F$22,Empoissonnement!$B$4:$B$22,J$38)*N(Aliments!$H$6),0)</f>
        <v>450</v>
      </c>
      <c r="K23" s="13">
        <f>ROUND(SUMIFS('Aliment par vague'!$F$4:$F$22,Empoissonnement!$B$4:$B$22,K$38)*N(Aliments!$H$6),0)</f>
        <v>450</v>
      </c>
      <c r="L23" s="13">
        <f>ROUND(SUMIFS('Aliment par vague'!$F$4:$F$22,Empoissonnement!$B$4:$B$22,L$38)*N(Aliments!$H$6),0)</f>
        <v>450</v>
      </c>
      <c r="M23" s="13">
        <f>ROUND(SUMIFS('Aliment par vague'!$F$4:$F$22,Empoissonnement!$B$4:$B$22,M$38)*N(Aliments!$H$6),0)</f>
        <v>450</v>
      </c>
      <c r="N23" s="13">
        <f>ROUND(SUMIFS('Aliment par vague'!$F$4:$F$22,Empoissonnement!$B$4:$B$22,N$38)*N(Aliments!$H$6),0)</f>
        <v>450</v>
      </c>
      <c r="O23" s="13">
        <f>ROUND(SUMIFS('Aliment par vague'!$F$4:$F$22,Empoissonnement!$B$4:$B$22,O$38)*N(Aliments!$H$6),0)</f>
        <v>450</v>
      </c>
      <c r="P23" s="13">
        <f>ROUND(SUMIFS('Aliment par vague'!$F$4:$F$22,Empoissonnement!$B$4:$B$22,P$38)*N(Aliments!$H$6),0)</f>
        <v>450</v>
      </c>
      <c r="Q23" s="13">
        <f>ROUND(SUMIFS('Aliment par vague'!$F$4:$F$22,Empoissonnement!$B$4:$B$22,Q$38)*N(Aliments!$H$6),0)</f>
        <v>450</v>
      </c>
      <c r="R23" s="13">
        <f>ROUND(SUMIFS('Aliment par vague'!$F$4:$F$22,Empoissonnement!$B$4:$B$22,R$38)*N(Aliments!$H$6),0)</f>
        <v>450</v>
      </c>
      <c r="S23" s="13">
        <f>ROUND(SUMIFS('Aliment par vague'!$F$4:$F$22,Empoissonnement!$B$4:$B$22,S$38)*N(Aliments!$H$6),0)</f>
        <v>450</v>
      </c>
      <c r="T23" s="13">
        <f>ROUND(SUMIFS('Aliment par vague'!$F$4:$F$22,Empoissonnement!$B$4:$B$22,T$38)*N(Aliments!$H$6),0)</f>
        <v>450</v>
      </c>
      <c r="U23" s="13">
        <f>ROUND(SUMIFS('Aliment par vague'!$F$4:$F$22,Empoissonnement!$B$4:$B$22,U$38)*N(Aliments!$H$6),0)</f>
        <v>450</v>
      </c>
      <c r="V23" s="13">
        <f>ROUND(SUMIFS('Aliment par vague'!$F$4:$F$22,Empoissonnement!$B$4:$B$22,V$38)*N(Aliments!$H$6),0)</f>
        <v>450</v>
      </c>
      <c r="W23" s="15">
        <f t="shared" si="1"/>
        <v>7230</v>
      </c>
    </row>
    <row r="24" spans="1:23" x14ac:dyDescent="0.2">
      <c r="A24" s="30" t="s">
        <v>114</v>
      </c>
      <c r="B24" s="22">
        <f>SUMIFS(Empoissonnement!$C$4:$C$22,Empoissonnement!$B$4:$B$22,B$37)*Paramètres!$B$7+SUMIFS(Empoissonnement!$C$4:$C$22,Empoissonnement!$B$4:$B$22,B$38)*Paramètres!$B$8</f>
        <v>0</v>
      </c>
      <c r="C24" s="22">
        <f>SUMIFS(Empoissonnement!$C$4:$C$22,Empoissonnement!$B$4:$B$22,C$37)*Paramètres!$B$7+SUMIFS(Empoissonnement!$C$4:$C$22,Empoissonnement!$B$4:$B$22,C$38)*Paramètres!$B$8</f>
        <v>0</v>
      </c>
      <c r="D24" s="22">
        <f>SUMIFS(Empoissonnement!$C$4:$C$22,Empoissonnement!$B$4:$B$22,D$37)*Paramètres!$B$7+SUMIFS(Empoissonnement!$C$4:$C$22,Empoissonnement!$B$4:$B$22,D$38)*Paramètres!$B$8</f>
        <v>4</v>
      </c>
      <c r="E24" s="22">
        <f>SUMIFS(Empoissonnement!$C$4:$C$22,Empoissonnement!$B$4:$B$22,E$37)*Paramètres!$B$7+SUMIFS(Empoissonnement!$C$4:$C$22,Empoissonnement!$B$4:$B$22,E$38)*Paramètres!$B$8</f>
        <v>4</v>
      </c>
      <c r="F24" s="22">
        <f>SUMIFS(Empoissonnement!$C$4:$C$22,Empoissonnement!$B$4:$B$22,F$37)*Paramètres!$B$7+SUMIFS(Empoissonnement!$C$4:$C$22,Empoissonnement!$B$4:$B$22,F$38)*Paramètres!$B$8</f>
        <v>8</v>
      </c>
      <c r="G24" s="22">
        <f>SUMIFS(Empoissonnement!$C$4:$C$22,Empoissonnement!$B$4:$B$22,G$37)*Paramètres!$B$7+SUMIFS(Empoissonnement!$C$4:$C$22,Empoissonnement!$B$4:$B$22,G$38)*Paramètres!$B$8</f>
        <v>8</v>
      </c>
      <c r="H24" s="22">
        <f>SUMIFS(Empoissonnement!$C$4:$C$22,Empoissonnement!$B$4:$B$22,H$37)*Paramètres!$B$7+SUMIFS(Empoissonnement!$C$4:$C$22,Empoissonnement!$B$4:$B$22,H$38)*Paramètres!$B$8</f>
        <v>10</v>
      </c>
      <c r="I24" s="22">
        <f>SUMIFS(Empoissonnement!$C$4:$C$22,Empoissonnement!$B$4:$B$22,I$37)*Paramètres!$B$7+SUMIFS(Empoissonnement!$C$4:$C$22,Empoissonnement!$B$4:$B$22,I$38)*Paramètres!$B$8</f>
        <v>12</v>
      </c>
      <c r="J24" s="22">
        <f>SUMIFS(Empoissonnement!$C$4:$C$22,Empoissonnement!$B$4:$B$22,J$37)*Paramètres!$B$7+SUMIFS(Empoissonnement!$C$4:$C$22,Empoissonnement!$B$4:$B$22,J$38)*Paramètres!$B$8</f>
        <v>15</v>
      </c>
      <c r="K24" s="22">
        <f>SUMIFS(Empoissonnement!$C$4:$C$22,Empoissonnement!$B$4:$B$22,K$37)*Paramètres!$B$7+SUMIFS(Empoissonnement!$C$4:$C$22,Empoissonnement!$B$4:$B$22,K$38)*Paramètres!$B$8</f>
        <v>15</v>
      </c>
      <c r="L24" s="22">
        <f>SUMIFS(Empoissonnement!$C$4:$C$22,Empoissonnement!$B$4:$B$22,L$37)*Paramètres!$B$7+SUMIFS(Empoissonnement!$C$4:$C$22,Empoissonnement!$B$4:$B$22,L$38)*Paramètres!$B$8</f>
        <v>15</v>
      </c>
      <c r="M24" s="22">
        <f>SUMIFS(Empoissonnement!$C$4:$C$22,Empoissonnement!$B$4:$B$22,M$37)*Paramètres!$B$7+SUMIFS(Empoissonnement!$C$4:$C$22,Empoissonnement!$B$4:$B$22,M$38)*Paramètres!$B$8</f>
        <v>15</v>
      </c>
      <c r="N24" s="22">
        <f>SUMIFS(Empoissonnement!$C$4:$C$22,Empoissonnement!$B$4:$B$22,N$37)*Paramètres!$B$7+SUMIFS(Empoissonnement!$C$4:$C$22,Empoissonnement!$B$4:$B$22,N$38)*Paramètres!$B$8</f>
        <v>15</v>
      </c>
      <c r="O24" s="22">
        <f>SUMIFS(Empoissonnement!$C$4:$C$22,Empoissonnement!$B$4:$B$22,O$37)*Paramètres!$B$7+SUMIFS(Empoissonnement!$C$4:$C$22,Empoissonnement!$B$4:$B$22,O$38)*Paramètres!$B$8</f>
        <v>15</v>
      </c>
      <c r="P24" s="22">
        <f>SUMIFS(Empoissonnement!$C$4:$C$22,Empoissonnement!$B$4:$B$22,P$37)*Paramètres!$B$7+SUMIFS(Empoissonnement!$C$4:$C$22,Empoissonnement!$B$4:$B$22,P$38)*Paramètres!$B$8</f>
        <v>15</v>
      </c>
      <c r="Q24" s="22">
        <f>SUMIFS(Empoissonnement!$C$4:$C$22,Empoissonnement!$B$4:$B$22,Q$37)*Paramètres!$B$7+SUMIFS(Empoissonnement!$C$4:$C$22,Empoissonnement!$B$4:$B$22,Q$38)*Paramètres!$B$8</f>
        <v>15</v>
      </c>
      <c r="R24" s="22">
        <f>SUMIFS(Empoissonnement!$C$4:$C$22,Empoissonnement!$B$4:$B$22,R$37)*Paramètres!$B$7+SUMIFS(Empoissonnement!$C$4:$C$22,Empoissonnement!$B$4:$B$22,R$38)*Paramètres!$B$8</f>
        <v>15</v>
      </c>
      <c r="S24" s="22">
        <f>SUMIFS(Empoissonnement!$C$4:$C$22,Empoissonnement!$B$4:$B$22,S$37)*Paramètres!$B$7+SUMIFS(Empoissonnement!$C$4:$C$22,Empoissonnement!$B$4:$B$22,S$38)*Paramètres!$B$8</f>
        <v>15</v>
      </c>
      <c r="T24" s="22">
        <f>SUMIFS(Empoissonnement!$C$4:$C$22,Empoissonnement!$B$4:$B$22,T$37)*Paramètres!$B$7+SUMIFS(Empoissonnement!$C$4:$C$22,Empoissonnement!$B$4:$B$22,T$38)*Paramètres!$B$8</f>
        <v>15</v>
      </c>
      <c r="U24" s="22">
        <f>SUMIFS(Empoissonnement!$C$4:$C$22,Empoissonnement!$B$4:$B$22,U$37)*Paramètres!$B$7+SUMIFS(Empoissonnement!$C$4:$C$22,Empoissonnement!$B$4:$B$22,U$38)*Paramètres!$B$8</f>
        <v>15</v>
      </c>
      <c r="V24" s="22">
        <f>SUMIFS(Empoissonnement!$C$4:$C$22,Empoissonnement!$B$4:$B$22,V$37)*Paramètres!$B$7+SUMIFS(Empoissonnement!$C$4:$C$22,Empoissonnement!$B$4:$B$22,V$38)*Paramètres!$B$8</f>
        <v>15</v>
      </c>
      <c r="W24" s="20">
        <f t="shared" si="1"/>
        <v>241</v>
      </c>
    </row>
    <row r="25" spans="1:23" x14ac:dyDescent="0.2">
      <c r="A25" s="77" t="s">
        <v>115</v>
      </c>
      <c r="B25" s="78">
        <f>B24*1000*Paramètres!$B$5</f>
        <v>0</v>
      </c>
      <c r="C25" s="78">
        <f>C24*1000*Paramètres!$B$5</f>
        <v>0</v>
      </c>
      <c r="D25" s="78">
        <f>D24*1000*Paramètres!$B$5</f>
        <v>7600000</v>
      </c>
      <c r="E25" s="78">
        <f>E24*1000*Paramètres!$B$5</f>
        <v>7600000</v>
      </c>
      <c r="F25" s="78">
        <f>F24*1000*Paramètres!$B$5</f>
        <v>15200000</v>
      </c>
      <c r="G25" s="78">
        <f>G24*1000*Paramètres!$B$5</f>
        <v>15200000</v>
      </c>
      <c r="H25" s="78">
        <f>H24*1000*Paramètres!$B$5</f>
        <v>19000000</v>
      </c>
      <c r="I25" s="78">
        <f>I24*1000*Paramètres!$B$5</f>
        <v>22800000</v>
      </c>
      <c r="J25" s="78">
        <f>J24*1000*Paramètres!$B$5</f>
        <v>28500000</v>
      </c>
      <c r="K25" s="78">
        <f>K24*1000*Paramètres!$B$5</f>
        <v>28500000</v>
      </c>
      <c r="L25" s="78">
        <f>L24*1000*Paramètres!$B$5</f>
        <v>28500000</v>
      </c>
      <c r="M25" s="78">
        <f>M24*1000*Paramètres!$B$5</f>
        <v>28500000</v>
      </c>
      <c r="N25" s="78">
        <f>N24*1000*Paramètres!$B$5</f>
        <v>28500000</v>
      </c>
      <c r="O25" s="78">
        <f>O24*1000*Paramètres!$B$5</f>
        <v>28500000</v>
      </c>
      <c r="P25" s="78">
        <f>P24*1000*Paramètres!$B$5</f>
        <v>28500000</v>
      </c>
      <c r="Q25" s="78">
        <f>Q24*1000*Paramètres!$B$5</f>
        <v>28500000</v>
      </c>
      <c r="R25" s="78">
        <f>R24*1000*Paramètres!$B$5</f>
        <v>28500000</v>
      </c>
      <c r="S25" s="78">
        <f>S24*1000*Paramètres!$B$5</f>
        <v>28500000</v>
      </c>
      <c r="T25" s="78">
        <f>T24*1000*Paramètres!$B$5</f>
        <v>28500000</v>
      </c>
      <c r="U25" s="78">
        <f>U24*1000*Paramètres!$B$5</f>
        <v>28500000</v>
      </c>
      <c r="V25" s="78">
        <f>V24*1000*Paramètres!$B$5</f>
        <v>28500000</v>
      </c>
      <c r="W25" s="79">
        <f t="shared" si="1"/>
        <v>457900000</v>
      </c>
    </row>
    <row r="26" spans="1:23" x14ac:dyDescent="0.2">
      <c r="A26" s="83" t="s">
        <v>226</v>
      </c>
      <c r="B26" s="84">
        <v>4000000</v>
      </c>
      <c r="C26" s="84">
        <v>6000000</v>
      </c>
      <c r="D26" s="84">
        <v>4000000</v>
      </c>
      <c r="E26" s="84">
        <v>0</v>
      </c>
      <c r="F26" s="84">
        <v>4000000</v>
      </c>
      <c r="G26" s="84">
        <v>10000000</v>
      </c>
      <c r="H26" s="84">
        <v>2000000</v>
      </c>
      <c r="I26" s="84">
        <v>0</v>
      </c>
      <c r="J26" s="84">
        <v>0</v>
      </c>
      <c r="K26" s="84">
        <v>0</v>
      </c>
      <c r="L26" s="84">
        <v>0</v>
      </c>
      <c r="M26" s="84">
        <v>0</v>
      </c>
      <c r="N26" s="84">
        <v>0</v>
      </c>
      <c r="O26" s="84">
        <v>0</v>
      </c>
      <c r="P26" s="84">
        <v>0</v>
      </c>
      <c r="Q26" s="84">
        <v>0</v>
      </c>
      <c r="R26" s="84">
        <v>0</v>
      </c>
      <c r="S26" s="84">
        <v>0</v>
      </c>
      <c r="T26" s="84">
        <v>0</v>
      </c>
      <c r="U26" s="84">
        <v>0</v>
      </c>
      <c r="V26" s="84">
        <v>0</v>
      </c>
      <c r="W26" s="85">
        <f>SUM(B26:V26)</f>
        <v>30000000</v>
      </c>
    </row>
    <row r="27" spans="1:23" x14ac:dyDescent="0.2">
      <c r="A27" s="86" t="s">
        <v>227</v>
      </c>
      <c r="B27" s="15">
        <f>B25+B26</f>
        <v>4000000</v>
      </c>
      <c r="C27" s="15">
        <f t="shared" ref="C27:V27" si="2">C25+C26</f>
        <v>6000000</v>
      </c>
      <c r="D27" s="15">
        <f t="shared" si="2"/>
        <v>11600000</v>
      </c>
      <c r="E27" s="15">
        <f t="shared" si="2"/>
        <v>7600000</v>
      </c>
      <c r="F27" s="15">
        <f t="shared" si="2"/>
        <v>19200000</v>
      </c>
      <c r="G27" s="15">
        <f t="shared" si="2"/>
        <v>25200000</v>
      </c>
      <c r="H27" s="15">
        <f t="shared" si="2"/>
        <v>21000000</v>
      </c>
      <c r="I27" s="15">
        <f t="shared" si="2"/>
        <v>22800000</v>
      </c>
      <c r="J27" s="15">
        <f t="shared" si="2"/>
        <v>28500000</v>
      </c>
      <c r="K27" s="15">
        <f t="shared" si="2"/>
        <v>28500000</v>
      </c>
      <c r="L27" s="15">
        <f t="shared" si="2"/>
        <v>28500000</v>
      </c>
      <c r="M27" s="15">
        <f t="shared" si="2"/>
        <v>28500000</v>
      </c>
      <c r="N27" s="15">
        <f t="shared" si="2"/>
        <v>28500000</v>
      </c>
      <c r="O27" s="15">
        <f t="shared" si="2"/>
        <v>28500000</v>
      </c>
      <c r="P27" s="15">
        <f t="shared" si="2"/>
        <v>28500000</v>
      </c>
      <c r="Q27" s="15">
        <f t="shared" si="2"/>
        <v>28500000</v>
      </c>
      <c r="R27" s="15">
        <f t="shared" si="2"/>
        <v>28500000</v>
      </c>
      <c r="S27" s="15">
        <f t="shared" si="2"/>
        <v>28500000</v>
      </c>
      <c r="T27" s="15">
        <f t="shared" si="2"/>
        <v>28500000</v>
      </c>
      <c r="U27" s="15">
        <f t="shared" si="2"/>
        <v>28500000</v>
      </c>
      <c r="V27" s="15">
        <f t="shared" si="2"/>
        <v>28500000</v>
      </c>
      <c r="W27" s="87">
        <f>SUM(B27:V27)</f>
        <v>487900000</v>
      </c>
    </row>
    <row r="28" spans="1:23" x14ac:dyDescent="0.2">
      <c r="A28" s="80" t="s">
        <v>116</v>
      </c>
      <c r="B28" s="81">
        <f>SUMIFS('Aliment par vague'!$N$4:$N$22,Empoissonnement!$B$4:$B$22,B$3)+SUMIFS('Aliment par vague'!$O$4:$O$22,Empoissonnement!$B$4:$B$22,B$37)+SUMIFS('Aliment par vague'!$P$4:$P$22,Empoissonnement!$B$4:$B$22,B$38)</f>
        <v>698400</v>
      </c>
      <c r="C28" s="81">
        <f>SUMIFS('Aliment par vague'!$N$4:$N$22,Empoissonnement!$B$4:$B$22,C$3)+SUMIFS('Aliment par vague'!$O$4:$O$22,Empoissonnement!$B$4:$B$22,C$37)+SUMIFS('Aliment par vague'!$P$4:$P$22,Empoissonnement!$B$4:$B$22,C$38)</f>
        <v>3004000</v>
      </c>
      <c r="D28" s="81">
        <f>SUMIFS('Aliment par vague'!$N$4:$N$22,Empoissonnement!$B$4:$B$22,D$3)+SUMIFS('Aliment par vague'!$O$4:$O$22,Empoissonnement!$B$4:$B$22,D$37)+SUMIFS('Aliment par vague'!$P$4:$P$22,Empoissonnement!$B$4:$B$22,D$38)</f>
        <v>5534464</v>
      </c>
      <c r="E28" s="81">
        <f>SUMIFS('Aliment par vague'!$N$4:$N$22,Empoissonnement!$B$4:$B$22,E$3)+SUMIFS('Aliment par vague'!$O$4:$O$22,Empoissonnement!$B$4:$B$22,E$37)+SUMIFS('Aliment par vague'!$P$4:$P$22,Empoissonnement!$B$4:$B$22,E$38)</f>
        <v>7747840</v>
      </c>
      <c r="F28" s="81">
        <f>SUMIFS('Aliment par vague'!$N$4:$N$22,Empoissonnement!$B$4:$B$22,F$3)+SUMIFS('Aliment par vague'!$O$4:$O$22,Empoissonnement!$B$4:$B$22,F$37)+SUMIFS('Aliment par vague'!$P$4:$P$22,Empoissonnement!$B$4:$B$22,F$38)</f>
        <v>9840736</v>
      </c>
      <c r="G28" s="81">
        <f>SUMIFS('Aliment par vague'!$N$4:$N$22,Empoissonnement!$B$4:$B$22,G$3)+SUMIFS('Aliment par vague'!$O$4:$O$22,Empoissonnement!$B$4:$B$22,G$37)+SUMIFS('Aliment par vague'!$P$4:$P$22,Empoissonnement!$B$4:$B$22,G$38)</f>
        <v>11190432</v>
      </c>
      <c r="H28" s="81">
        <f>SUMIFS('Aliment par vague'!$N$4:$N$22,Empoissonnement!$B$4:$B$22,H$3)+SUMIFS('Aliment par vague'!$O$4:$O$22,Empoissonnement!$B$4:$B$22,H$37)+SUMIFS('Aliment par vague'!$P$4:$P$22,Empoissonnement!$B$4:$B$22,H$38)</f>
        <v>13565988</v>
      </c>
      <c r="I28" s="81">
        <f>SUMIFS('Aliment par vague'!$N$4:$N$22,Empoissonnement!$B$4:$B$22,I$3)+SUMIFS('Aliment par vague'!$O$4:$O$22,Empoissonnement!$B$4:$B$22,I$37)+SUMIFS('Aliment par vague'!$P$4:$P$22,Empoissonnement!$B$4:$B$22,I$38)</f>
        <v>15945900</v>
      </c>
      <c r="J28" s="81">
        <f>SUMIFS('Aliment par vague'!$N$4:$N$22,Empoissonnement!$B$4:$B$22,J$3)+SUMIFS('Aliment par vague'!$O$4:$O$22,Empoissonnement!$B$4:$B$22,J$37)+SUMIFS('Aliment par vague'!$P$4:$P$22,Empoissonnement!$B$4:$B$22,J$38)</f>
        <v>17145600</v>
      </c>
      <c r="K28" s="81">
        <f>SUMIFS('Aliment par vague'!$N$4:$N$22,Empoissonnement!$B$4:$B$22,K$3)+SUMIFS('Aliment par vague'!$O$4:$O$22,Empoissonnement!$B$4:$B$22,K$37)+SUMIFS('Aliment par vague'!$P$4:$P$22,Empoissonnement!$B$4:$B$22,K$38)</f>
        <v>17145600</v>
      </c>
      <c r="L28" s="81">
        <f>SUMIFS('Aliment par vague'!$N$4:$N$22,Empoissonnement!$B$4:$B$22,L$3)+SUMIFS('Aliment par vague'!$O$4:$O$22,Empoissonnement!$B$4:$B$22,L$37)+SUMIFS('Aliment par vague'!$P$4:$P$22,Empoissonnement!$B$4:$B$22,L$38)</f>
        <v>17145600</v>
      </c>
      <c r="M28" s="81">
        <f>SUMIFS('Aliment par vague'!$N$4:$N$22,Empoissonnement!$B$4:$B$22,M$3)+SUMIFS('Aliment par vague'!$O$4:$O$22,Empoissonnement!$B$4:$B$22,M$37)+SUMIFS('Aliment par vague'!$P$4:$P$22,Empoissonnement!$B$4:$B$22,M$38)</f>
        <v>17145600</v>
      </c>
      <c r="N28" s="81">
        <f>SUMIFS('Aliment par vague'!$N$4:$N$22,Empoissonnement!$B$4:$B$22,N$3)+SUMIFS('Aliment par vague'!$O$4:$O$22,Empoissonnement!$B$4:$B$22,N$37)+SUMIFS('Aliment par vague'!$P$4:$P$22,Empoissonnement!$B$4:$B$22,N$38)</f>
        <v>17145600</v>
      </c>
      <c r="O28" s="81">
        <f>SUMIFS('Aliment par vague'!$N$4:$N$22,Empoissonnement!$B$4:$B$22,O$3)+SUMIFS('Aliment par vague'!$O$4:$O$22,Empoissonnement!$B$4:$B$22,O$37)+SUMIFS('Aliment par vague'!$P$4:$P$22,Empoissonnement!$B$4:$B$22,O$38)</f>
        <v>17145600</v>
      </c>
      <c r="P28" s="81">
        <f>SUMIFS('Aliment par vague'!$N$4:$N$22,Empoissonnement!$B$4:$B$22,P$3)+SUMIFS('Aliment par vague'!$O$4:$O$22,Empoissonnement!$B$4:$B$22,P$37)+SUMIFS('Aliment par vague'!$P$4:$P$22,Empoissonnement!$B$4:$B$22,P$38)</f>
        <v>17145600</v>
      </c>
      <c r="Q28" s="81">
        <f>SUMIFS('Aliment par vague'!$N$4:$N$22,Empoissonnement!$B$4:$B$22,Q$3)+SUMIFS('Aliment par vague'!$O$4:$O$22,Empoissonnement!$B$4:$B$22,Q$37)+SUMIFS('Aliment par vague'!$P$4:$P$22,Empoissonnement!$B$4:$B$22,Q$38)</f>
        <v>17145600</v>
      </c>
      <c r="R28" s="81">
        <f>SUMIFS('Aliment par vague'!$N$4:$N$22,Empoissonnement!$B$4:$B$22,R$3)+SUMIFS('Aliment par vague'!$O$4:$O$22,Empoissonnement!$B$4:$B$22,R$37)+SUMIFS('Aliment par vague'!$P$4:$P$22,Empoissonnement!$B$4:$B$22,R$38)</f>
        <v>17145600</v>
      </c>
      <c r="S28" s="81">
        <f>SUMIFS('Aliment par vague'!$N$4:$N$22,Empoissonnement!$B$4:$B$22,S$3)+SUMIFS('Aliment par vague'!$O$4:$O$22,Empoissonnement!$B$4:$B$22,S$37)+SUMIFS('Aliment par vague'!$P$4:$P$22,Empoissonnement!$B$4:$B$22,S$38)</f>
        <v>17145600</v>
      </c>
      <c r="T28" s="81">
        <f>SUMIFS('Aliment par vague'!$N$4:$N$22,Empoissonnement!$B$4:$B$22,T$3)+SUMIFS('Aliment par vague'!$O$4:$O$22,Empoissonnement!$B$4:$B$22,T$37)+SUMIFS('Aliment par vague'!$P$4:$P$22,Empoissonnement!$B$4:$B$22,T$38)</f>
        <v>17145600</v>
      </c>
      <c r="U28" s="81">
        <f>SUMIFS('Aliment par vague'!$N$4:$N$22,Empoissonnement!$B$4:$B$22,U$3)+SUMIFS('Aliment par vague'!$O$4:$O$22,Empoissonnement!$B$4:$B$22,U$37)+SUMIFS('Aliment par vague'!$P$4:$P$22,Empoissonnement!$B$4:$B$22,U$38)</f>
        <v>14683740</v>
      </c>
      <c r="V28" s="81">
        <f>SUMIFS('Aliment par vague'!$N$4:$N$22,Empoissonnement!$B$4:$B$22,V$3)+SUMIFS('Aliment par vague'!$O$4:$O$22,Empoissonnement!$B$4:$B$22,V$37)+SUMIFS('Aliment par vague'!$P$4:$P$22,Empoissonnement!$B$4:$B$22,V$38)</f>
        <v>6556500</v>
      </c>
      <c r="W28" s="82">
        <f t="shared" si="1"/>
        <v>277369600</v>
      </c>
    </row>
    <row r="29" spans="1:23" x14ac:dyDescent="0.2">
      <c r="A29" s="30" t="s">
        <v>117</v>
      </c>
      <c r="B29" s="13">
        <f>SUMIFS(Empoissonnement!$H$4:$H$22,Empoissonnement!$B$4:$B$22,B$3)</f>
        <v>0</v>
      </c>
      <c r="C29" s="13">
        <f>SUMIFS(Empoissonnement!$H$4:$H$22,Empoissonnement!$B$4:$B$22,C$3)</f>
        <v>0</v>
      </c>
      <c r="D29" s="13">
        <f>SUMIFS(Empoissonnement!$H$4:$H$22,Empoissonnement!$B$4:$B$22,D$3)</f>
        <v>0</v>
      </c>
      <c r="E29" s="13">
        <f>SUMIFS(Empoissonnement!$H$4:$H$22,Empoissonnement!$B$4:$B$22,E$3)</f>
        <v>0</v>
      </c>
      <c r="F29" s="13">
        <f>SUMIFS(Empoissonnement!$H$4:$H$22,Empoissonnement!$B$4:$B$22,F$3)</f>
        <v>0</v>
      </c>
      <c r="G29" s="13">
        <f>SUMIFS(Empoissonnement!$H$4:$H$22,Empoissonnement!$B$4:$B$22,G$3)</f>
        <v>0</v>
      </c>
      <c r="H29" s="13">
        <f>SUMIFS(Empoissonnement!$H$4:$H$22,Empoissonnement!$B$4:$B$22,H$3)</f>
        <v>0</v>
      </c>
      <c r="I29" s="13">
        <f>SUMIFS(Empoissonnement!$H$4:$H$22,Empoissonnement!$B$4:$B$22,I$3)</f>
        <v>0</v>
      </c>
      <c r="J29" s="13">
        <f>SUMIFS(Empoissonnement!$H$4:$H$22,Empoissonnement!$B$4:$B$22,J$3)</f>
        <v>0</v>
      </c>
      <c r="K29" s="13">
        <f>SUMIFS(Empoissonnement!$H$4:$H$22,Empoissonnement!$B$4:$B$22,K$3)</f>
        <v>0</v>
      </c>
      <c r="L29" s="13">
        <f>SUMIFS(Empoissonnement!$H$4:$H$22,Empoissonnement!$B$4:$B$22,L$3)</f>
        <v>0</v>
      </c>
      <c r="M29" s="13">
        <f>SUMIFS(Empoissonnement!$H$4:$H$22,Empoissonnement!$B$4:$B$22,M$3)</f>
        <v>0</v>
      </c>
      <c r="N29" s="13">
        <f>SUMIFS(Empoissonnement!$H$4:$H$22,Empoissonnement!$B$4:$B$22,N$3)</f>
        <v>0</v>
      </c>
      <c r="O29" s="13">
        <f>SUMIFS(Empoissonnement!$H$4:$H$22,Empoissonnement!$B$4:$B$22,O$3)</f>
        <v>0</v>
      </c>
      <c r="P29" s="13">
        <f>SUMIFS(Empoissonnement!$H$4:$H$22,Empoissonnement!$B$4:$B$22,P$3)</f>
        <v>0</v>
      </c>
      <c r="Q29" s="13">
        <f>SUMIFS(Empoissonnement!$H$4:$H$22,Empoissonnement!$B$4:$B$22,Q$3)</f>
        <v>0</v>
      </c>
      <c r="R29" s="13">
        <f>SUMIFS(Empoissonnement!$H$4:$H$22,Empoissonnement!$B$4:$B$22,R$3)</f>
        <v>0</v>
      </c>
      <c r="S29" s="13">
        <f>SUMIFS(Empoissonnement!$H$4:$H$22,Empoissonnement!$B$4:$B$22,S$3)</f>
        <v>0</v>
      </c>
      <c r="T29" s="13">
        <f>SUMIFS(Empoissonnement!$H$4:$H$22,Empoissonnement!$B$4:$B$22,T$3)</f>
        <v>0</v>
      </c>
      <c r="U29" s="13">
        <f>SUMIFS(Empoissonnement!$H$4:$H$22,Empoissonnement!$B$4:$B$22,U$3)</f>
        <v>0</v>
      </c>
      <c r="V29" s="13">
        <f>SUMIFS(Empoissonnement!$H$4:$H$22,Empoissonnement!$B$4:$B$22,V$3)</f>
        <v>0</v>
      </c>
      <c r="W29" s="15">
        <f t="shared" si="1"/>
        <v>0</v>
      </c>
    </row>
    <row r="30" spans="1:23" x14ac:dyDescent="0.2">
      <c r="A30" s="16" t="s">
        <v>187</v>
      </c>
      <c r="B30" s="66">
        <f>Dépenses!B34</f>
        <v>995000</v>
      </c>
      <c r="C30" s="66">
        <f>Dépenses!C34</f>
        <v>1070000</v>
      </c>
      <c r="D30" s="66">
        <f>Dépenses!D34</f>
        <v>1205000</v>
      </c>
      <c r="E30" s="66">
        <f>Dépenses!E34</f>
        <v>1250000</v>
      </c>
      <c r="F30" s="66">
        <f>Dépenses!F34</f>
        <v>1355000</v>
      </c>
      <c r="G30" s="66">
        <f>Dépenses!G34</f>
        <v>6385000</v>
      </c>
      <c r="H30" s="66">
        <f>Dépenses!H34</f>
        <v>6470000</v>
      </c>
      <c r="I30" s="66">
        <f>Dépenses!I34</f>
        <v>1540000</v>
      </c>
      <c r="J30" s="66">
        <f>Dépenses!J34</f>
        <v>5605000</v>
      </c>
      <c r="K30" s="66">
        <f>Dépenses!K34</f>
        <v>18005000</v>
      </c>
      <c r="L30" s="66">
        <f>Dépenses!L34</f>
        <v>5605000</v>
      </c>
      <c r="M30" s="66">
        <f>Dépenses!M34</f>
        <v>1605000</v>
      </c>
      <c r="N30" s="66">
        <f>Dépenses!N34</f>
        <v>1605000</v>
      </c>
      <c r="O30" s="66">
        <f>Dépenses!O34</f>
        <v>1605000</v>
      </c>
      <c r="P30" s="66">
        <f>Dépenses!P34</f>
        <v>1605000</v>
      </c>
      <c r="Q30" s="66">
        <f>Dépenses!Q34</f>
        <v>1605000</v>
      </c>
      <c r="R30" s="66">
        <f>Dépenses!R34</f>
        <v>1605000</v>
      </c>
      <c r="S30" s="66">
        <f>Dépenses!S34</f>
        <v>1605000</v>
      </c>
      <c r="T30" s="66">
        <f>Dépenses!T34</f>
        <v>1605000</v>
      </c>
      <c r="U30" s="66">
        <f>Dépenses!U34</f>
        <v>1485000</v>
      </c>
      <c r="V30" s="66">
        <f>Dépenses!V34</f>
        <v>1350000</v>
      </c>
      <c r="W30" s="66">
        <f t="shared" si="1"/>
        <v>65160000</v>
      </c>
    </row>
    <row r="31" spans="1:23" x14ac:dyDescent="0.2">
      <c r="A31" s="74" t="s">
        <v>225</v>
      </c>
      <c r="B31" s="64">
        <f>Dépenses!B33</f>
        <v>0</v>
      </c>
      <c r="C31" s="64">
        <f>Dépenses!C33</f>
        <v>0</v>
      </c>
      <c r="D31" s="64">
        <f>Dépenses!D33</f>
        <v>0</v>
      </c>
      <c r="E31" s="64">
        <f>Dépenses!E33</f>
        <v>0</v>
      </c>
      <c r="F31" s="64">
        <f>Dépenses!F33</f>
        <v>0</v>
      </c>
      <c r="G31" s="64">
        <f>Dépenses!G33</f>
        <v>5000000</v>
      </c>
      <c r="H31" s="64">
        <f>Dépenses!H33</f>
        <v>5000000</v>
      </c>
      <c r="I31" s="64">
        <f>Dépenses!I33</f>
        <v>0</v>
      </c>
      <c r="J31" s="64">
        <f>Dépenses!J33</f>
        <v>4000000</v>
      </c>
      <c r="K31" s="64">
        <f>Dépenses!K33</f>
        <v>16400000</v>
      </c>
      <c r="L31" s="64">
        <f>Dépenses!L33</f>
        <v>4000000</v>
      </c>
      <c r="M31" s="64">
        <f>Dépenses!M33</f>
        <v>0</v>
      </c>
      <c r="N31" s="64">
        <f>Dépenses!N33</f>
        <v>0</v>
      </c>
      <c r="O31" s="64">
        <f>Dépenses!O33</f>
        <v>0</v>
      </c>
      <c r="P31" s="64">
        <f>Dépenses!P33</f>
        <v>0</v>
      </c>
      <c r="Q31" s="64">
        <f>Dépenses!Q33</f>
        <v>0</v>
      </c>
      <c r="R31" s="64">
        <f>Dépenses!R33</f>
        <v>0</v>
      </c>
      <c r="S31" s="64">
        <f>Dépenses!S33</f>
        <v>0</v>
      </c>
      <c r="T31" s="64">
        <f>Dépenses!T33</f>
        <v>0</v>
      </c>
      <c r="U31" s="64">
        <f>Dépenses!U33</f>
        <v>0</v>
      </c>
      <c r="V31" s="64">
        <f>Dépenses!V33</f>
        <v>0</v>
      </c>
      <c r="W31" s="75">
        <f>SUM(B31:V31)</f>
        <v>34400000</v>
      </c>
    </row>
    <row r="32" spans="1:23" x14ac:dyDescent="0.2">
      <c r="A32" s="30" t="s">
        <v>118</v>
      </c>
      <c r="B32" s="15">
        <f t="shared" ref="B32:R32" si="3">B28+B29+B30</f>
        <v>1693400</v>
      </c>
      <c r="C32" s="15">
        <f t="shared" si="3"/>
        <v>4074000</v>
      </c>
      <c r="D32" s="15">
        <f t="shared" si="3"/>
        <v>6739464</v>
      </c>
      <c r="E32" s="15">
        <f t="shared" si="3"/>
        <v>8997840</v>
      </c>
      <c r="F32" s="15">
        <f t="shared" si="3"/>
        <v>11195736</v>
      </c>
      <c r="G32" s="15">
        <f t="shared" si="3"/>
        <v>17575432</v>
      </c>
      <c r="H32" s="15">
        <f t="shared" si="3"/>
        <v>20035988</v>
      </c>
      <c r="I32" s="15">
        <f t="shared" si="3"/>
        <v>17485900</v>
      </c>
      <c r="J32" s="15">
        <f t="shared" si="3"/>
        <v>22750600</v>
      </c>
      <c r="K32" s="15">
        <f t="shared" si="3"/>
        <v>35150600</v>
      </c>
      <c r="L32" s="15">
        <f t="shared" si="3"/>
        <v>22750600</v>
      </c>
      <c r="M32" s="15">
        <f t="shared" si="3"/>
        <v>18750600</v>
      </c>
      <c r="N32" s="15">
        <f t="shared" si="3"/>
        <v>18750600</v>
      </c>
      <c r="O32" s="15">
        <f t="shared" si="3"/>
        <v>18750600</v>
      </c>
      <c r="P32" s="15">
        <f t="shared" si="3"/>
        <v>18750600</v>
      </c>
      <c r="Q32" s="15">
        <f t="shared" si="3"/>
        <v>18750600</v>
      </c>
      <c r="R32" s="15">
        <f t="shared" si="3"/>
        <v>18750600</v>
      </c>
      <c r="S32" s="15">
        <f t="shared" ref="S32:V32" si="4">S28+S29+S30</f>
        <v>18750600</v>
      </c>
      <c r="T32" s="15">
        <f t="shared" si="4"/>
        <v>18750600</v>
      </c>
      <c r="U32" s="15">
        <f t="shared" si="4"/>
        <v>16168740</v>
      </c>
      <c r="V32" s="15">
        <f t="shared" si="4"/>
        <v>7906500</v>
      </c>
      <c r="W32" s="15">
        <f t="shared" si="1"/>
        <v>342529600</v>
      </c>
    </row>
    <row r="33" spans="1:23" x14ac:dyDescent="0.2">
      <c r="A33" s="30" t="s">
        <v>119</v>
      </c>
      <c r="B33" s="13">
        <f>B27-B32</f>
        <v>2306600</v>
      </c>
      <c r="C33" s="13">
        <f t="shared" ref="C33:V33" si="5">C27-C32</f>
        <v>1926000</v>
      </c>
      <c r="D33" s="13">
        <f t="shared" si="5"/>
        <v>4860536</v>
      </c>
      <c r="E33" s="13">
        <f t="shared" si="5"/>
        <v>-1397840</v>
      </c>
      <c r="F33" s="13">
        <f t="shared" si="5"/>
        <v>8004264</v>
      </c>
      <c r="G33" s="13">
        <f t="shared" si="5"/>
        <v>7624568</v>
      </c>
      <c r="H33" s="13">
        <f t="shared" si="5"/>
        <v>964012</v>
      </c>
      <c r="I33" s="13">
        <f t="shared" si="5"/>
        <v>5314100</v>
      </c>
      <c r="J33" s="13">
        <f t="shared" si="5"/>
        <v>5749400</v>
      </c>
      <c r="K33" s="13">
        <f t="shared" si="5"/>
        <v>-6650600</v>
      </c>
      <c r="L33" s="13">
        <f t="shared" si="5"/>
        <v>5749400</v>
      </c>
      <c r="M33" s="13">
        <f t="shared" si="5"/>
        <v>9749400</v>
      </c>
      <c r="N33" s="13">
        <f t="shared" si="5"/>
        <v>9749400</v>
      </c>
      <c r="O33" s="13">
        <f t="shared" si="5"/>
        <v>9749400</v>
      </c>
      <c r="P33" s="13">
        <f t="shared" si="5"/>
        <v>9749400</v>
      </c>
      <c r="Q33" s="13">
        <f t="shared" si="5"/>
        <v>9749400</v>
      </c>
      <c r="R33" s="13">
        <f t="shared" si="5"/>
        <v>9749400</v>
      </c>
      <c r="S33" s="13">
        <f t="shared" si="5"/>
        <v>9749400</v>
      </c>
      <c r="T33" s="13">
        <f t="shared" si="5"/>
        <v>9749400</v>
      </c>
      <c r="U33" s="13">
        <f t="shared" si="5"/>
        <v>12331260</v>
      </c>
      <c r="V33" s="13">
        <f t="shared" si="5"/>
        <v>20593500</v>
      </c>
      <c r="W33" s="15">
        <f t="shared" si="1"/>
        <v>145370400</v>
      </c>
    </row>
    <row r="34" spans="1:23" x14ac:dyDescent="0.2">
      <c r="A34" s="30" t="s">
        <v>120</v>
      </c>
      <c r="B34" s="13">
        <f>MAX(0,B33)*Paramètres!$B$36</f>
        <v>691980</v>
      </c>
      <c r="C34" s="13">
        <f>MAX(0,C33)*Paramètres!$B$36</f>
        <v>577800</v>
      </c>
      <c r="D34" s="13">
        <f>MAX(0,D33)*Paramètres!$B$36</f>
        <v>1458160.8</v>
      </c>
      <c r="E34" s="13">
        <f>MAX(0,E33)*Paramètres!$B$36</f>
        <v>0</v>
      </c>
      <c r="F34" s="13">
        <f>MAX(0,F33)*Paramètres!$B$36</f>
        <v>2401279.1999999997</v>
      </c>
      <c r="G34" s="13">
        <f>MAX(0,G33)*Paramètres!$B$36</f>
        <v>2287370.4</v>
      </c>
      <c r="H34" s="13">
        <f>MAX(0,H33)*Paramètres!$B$36</f>
        <v>289203.59999999998</v>
      </c>
      <c r="I34" s="13">
        <f>MAX(0,I33)*Paramètres!$B$36</f>
        <v>1594230</v>
      </c>
      <c r="J34" s="13">
        <f>MAX(0,J33)*Paramètres!$B$36</f>
        <v>1724820</v>
      </c>
      <c r="K34" s="13">
        <f>MAX(0,K33)*Paramètres!$B$36</f>
        <v>0</v>
      </c>
      <c r="L34" s="13">
        <f>MAX(0,L33)*Paramètres!$B$36</f>
        <v>1724820</v>
      </c>
      <c r="M34" s="13">
        <f>MAX(0,M33)*Paramètres!$B$36</f>
        <v>2924820</v>
      </c>
      <c r="N34" s="13">
        <f>MAX(0,N33)*Paramètres!$B$36</f>
        <v>2924820</v>
      </c>
      <c r="O34" s="13">
        <f>MAX(0,O33)*Paramètres!$B$36</f>
        <v>2924820</v>
      </c>
      <c r="P34" s="13">
        <f>MAX(0,P33)*Paramètres!$B$36</f>
        <v>2924820</v>
      </c>
      <c r="Q34" s="13">
        <f>MAX(0,Q33)*Paramètres!$B$36</f>
        <v>2924820</v>
      </c>
      <c r="R34" s="13">
        <f>MAX(0,R33)*Paramètres!$B$36</f>
        <v>2924820</v>
      </c>
      <c r="S34" s="13">
        <f>MAX(0,S33)*Paramètres!$B$36</f>
        <v>2924820</v>
      </c>
      <c r="T34" s="13">
        <f>MAX(0,T33)*Paramètres!$B$36</f>
        <v>2924820</v>
      </c>
      <c r="U34" s="13">
        <f>MAX(0,U33)*Paramètres!$B$36</f>
        <v>3699378</v>
      </c>
      <c r="V34" s="13">
        <f>MAX(0,V33)*Paramètres!$B$36</f>
        <v>6178050</v>
      </c>
      <c r="W34" s="15">
        <f t="shared" si="1"/>
        <v>46025652</v>
      </c>
    </row>
    <row r="35" spans="1:23" x14ac:dyDescent="0.2">
      <c r="A35" s="30" t="s">
        <v>121</v>
      </c>
      <c r="B35" s="15">
        <f>Paramètres!$B$37+B33</f>
        <v>2306600</v>
      </c>
      <c r="C35" s="15">
        <f t="shared" ref="C35:R35" si="6">B35+C33</f>
        <v>4232600</v>
      </c>
      <c r="D35" s="15">
        <f t="shared" si="6"/>
        <v>9093136</v>
      </c>
      <c r="E35" s="15">
        <f t="shared" si="6"/>
        <v>7695296</v>
      </c>
      <c r="F35" s="15">
        <f t="shared" si="6"/>
        <v>15699560</v>
      </c>
      <c r="G35" s="15">
        <f t="shared" si="6"/>
        <v>23324128</v>
      </c>
      <c r="H35" s="15">
        <f t="shared" si="6"/>
        <v>24288140</v>
      </c>
      <c r="I35" s="15">
        <f t="shared" si="6"/>
        <v>29602240</v>
      </c>
      <c r="J35" s="15">
        <f t="shared" si="6"/>
        <v>35351640</v>
      </c>
      <c r="K35" s="15">
        <f t="shared" si="6"/>
        <v>28701040</v>
      </c>
      <c r="L35" s="15">
        <f t="shared" si="6"/>
        <v>34450440</v>
      </c>
      <c r="M35" s="15">
        <f t="shared" si="6"/>
        <v>44199840</v>
      </c>
      <c r="N35" s="15">
        <f t="shared" si="6"/>
        <v>53949240</v>
      </c>
      <c r="O35" s="15">
        <f t="shared" si="6"/>
        <v>63698640</v>
      </c>
      <c r="P35" s="15">
        <f t="shared" si="6"/>
        <v>73448040</v>
      </c>
      <c r="Q35" s="15">
        <f t="shared" si="6"/>
        <v>83197440</v>
      </c>
      <c r="R35" s="15">
        <f t="shared" si="6"/>
        <v>92946840</v>
      </c>
      <c r="S35" s="15">
        <f t="shared" ref="S35" si="7">R35+S33</f>
        <v>102696240</v>
      </c>
      <c r="T35" s="15">
        <f t="shared" ref="T35" si="8">S35+T33</f>
        <v>112445640</v>
      </c>
      <c r="U35" s="15">
        <f t="shared" ref="U35" si="9">T35+U33</f>
        <v>124776900</v>
      </c>
      <c r="V35" s="15">
        <f t="shared" ref="V35" si="10">U35+V33</f>
        <v>145370400</v>
      </c>
      <c r="W35" s="15">
        <f>V35</f>
        <v>145370400</v>
      </c>
    </row>
    <row r="37" spans="1:23" hidden="1" x14ac:dyDescent="0.2">
      <c r="A37" s="3" t="s">
        <v>122</v>
      </c>
      <c r="B37" s="24">
        <f t="shared" ref="B37:V37" si="11">EDATE(B$3,-1)</f>
        <v>46204</v>
      </c>
      <c r="C37" s="24">
        <f t="shared" si="11"/>
        <v>46235</v>
      </c>
      <c r="D37" s="24">
        <f t="shared" si="11"/>
        <v>46266</v>
      </c>
      <c r="E37" s="24">
        <f t="shared" si="11"/>
        <v>46296</v>
      </c>
      <c r="F37" s="24">
        <f t="shared" si="11"/>
        <v>46327</v>
      </c>
      <c r="G37" s="24">
        <f t="shared" si="11"/>
        <v>46357</v>
      </c>
      <c r="H37" s="24">
        <f t="shared" si="11"/>
        <v>46388</v>
      </c>
      <c r="I37" s="24">
        <f t="shared" si="11"/>
        <v>46419</v>
      </c>
      <c r="J37" s="24">
        <f t="shared" si="11"/>
        <v>46447</v>
      </c>
      <c r="K37" s="24">
        <f t="shared" si="11"/>
        <v>46478</v>
      </c>
      <c r="L37" s="24">
        <f t="shared" si="11"/>
        <v>46508</v>
      </c>
      <c r="M37" s="24">
        <f t="shared" si="11"/>
        <v>46539</v>
      </c>
      <c r="N37" s="24">
        <f t="shared" si="11"/>
        <v>46569</v>
      </c>
      <c r="O37" s="24">
        <f t="shared" si="11"/>
        <v>46600</v>
      </c>
      <c r="P37" s="24">
        <f t="shared" si="11"/>
        <v>46631</v>
      </c>
      <c r="Q37" s="24">
        <f t="shared" si="11"/>
        <v>46661</v>
      </c>
      <c r="R37" s="24">
        <f t="shared" si="11"/>
        <v>46692</v>
      </c>
      <c r="S37" s="24">
        <f t="shared" si="11"/>
        <v>46722</v>
      </c>
      <c r="T37" s="24">
        <f t="shared" si="11"/>
        <v>46753</v>
      </c>
      <c r="U37" s="24">
        <f t="shared" si="11"/>
        <v>46784</v>
      </c>
      <c r="V37" s="24">
        <f t="shared" si="11"/>
        <v>46813</v>
      </c>
    </row>
    <row r="38" spans="1:23" hidden="1" x14ac:dyDescent="0.2">
      <c r="A38" s="3" t="s">
        <v>123</v>
      </c>
      <c r="B38" s="24">
        <f t="shared" ref="B38:V38" si="12">EDATE(B$3,-2)</f>
        <v>46174</v>
      </c>
      <c r="C38" s="24">
        <f t="shared" si="12"/>
        <v>46204</v>
      </c>
      <c r="D38" s="24">
        <f t="shared" si="12"/>
        <v>46235</v>
      </c>
      <c r="E38" s="24">
        <f t="shared" si="12"/>
        <v>46266</v>
      </c>
      <c r="F38" s="24">
        <f t="shared" si="12"/>
        <v>46296</v>
      </c>
      <c r="G38" s="24">
        <f t="shared" si="12"/>
        <v>46327</v>
      </c>
      <c r="H38" s="24">
        <f t="shared" si="12"/>
        <v>46357</v>
      </c>
      <c r="I38" s="24">
        <f t="shared" si="12"/>
        <v>46388</v>
      </c>
      <c r="J38" s="24">
        <f t="shared" si="12"/>
        <v>46419</v>
      </c>
      <c r="K38" s="24">
        <f t="shared" si="12"/>
        <v>46447</v>
      </c>
      <c r="L38" s="24">
        <f t="shared" si="12"/>
        <v>46478</v>
      </c>
      <c r="M38" s="24">
        <f t="shared" si="12"/>
        <v>46508</v>
      </c>
      <c r="N38" s="24">
        <f t="shared" si="12"/>
        <v>46539</v>
      </c>
      <c r="O38" s="24">
        <f t="shared" si="12"/>
        <v>46569</v>
      </c>
      <c r="P38" s="24">
        <f t="shared" si="12"/>
        <v>46600</v>
      </c>
      <c r="Q38" s="24">
        <f t="shared" si="12"/>
        <v>46631</v>
      </c>
      <c r="R38" s="24">
        <f t="shared" si="12"/>
        <v>46661</v>
      </c>
      <c r="S38" s="24">
        <f t="shared" si="12"/>
        <v>46692</v>
      </c>
      <c r="T38" s="24">
        <f t="shared" si="12"/>
        <v>46722</v>
      </c>
      <c r="U38" s="24">
        <f t="shared" si="12"/>
        <v>46753</v>
      </c>
      <c r="V38" s="24">
        <f t="shared" si="12"/>
        <v>46784</v>
      </c>
    </row>
  </sheetData>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0"/>
  <sheetViews>
    <sheetView zoomScaleNormal="100" workbookViewId="0"/>
  </sheetViews>
  <sheetFormatPr baseColWidth="10" defaultColWidth="8.6640625" defaultRowHeight="15" x14ac:dyDescent="0.2"/>
  <cols>
    <col min="1" max="1" width="44" customWidth="1"/>
    <col min="2" max="2" width="18" customWidth="1"/>
    <col min="3" max="3" width="55" customWidth="1"/>
  </cols>
  <sheetData>
    <row r="1" spans="1:3" ht="18" x14ac:dyDescent="0.2">
      <c r="A1" s="2" t="s">
        <v>138</v>
      </c>
    </row>
    <row r="3" spans="1:3" x14ac:dyDescent="0.2">
      <c r="A3" s="30" t="s">
        <v>124</v>
      </c>
      <c r="B3" s="20">
        <f>Prévisions!W24</f>
        <v>241</v>
      </c>
    </row>
    <row r="4" spans="1:3" x14ac:dyDescent="0.2">
      <c r="A4" s="30" t="s">
        <v>125</v>
      </c>
      <c r="B4" s="15">
        <f>Prévisions!W25</f>
        <v>457900000</v>
      </c>
    </row>
    <row r="5" spans="1:3" x14ac:dyDescent="0.2">
      <c r="A5" s="30" t="s">
        <v>228</v>
      </c>
      <c r="B5" s="15">
        <f>Prévisions!W26</f>
        <v>30000000</v>
      </c>
    </row>
    <row r="6" spans="1:3" x14ac:dyDescent="0.2">
      <c r="A6" s="30" t="s">
        <v>118</v>
      </c>
      <c r="B6" s="15">
        <f>Prévisions!W32</f>
        <v>342529600</v>
      </c>
    </row>
    <row r="7" spans="1:3" x14ac:dyDescent="0.2">
      <c r="A7" s="30" t="s">
        <v>126</v>
      </c>
      <c r="B7" s="15">
        <f>Prévisions!W28</f>
        <v>277369600</v>
      </c>
    </row>
    <row r="8" spans="1:3" x14ac:dyDescent="0.2">
      <c r="A8" s="30" t="s">
        <v>127</v>
      </c>
      <c r="B8" s="15">
        <f>Prévisions!W29</f>
        <v>0</v>
      </c>
    </row>
    <row r="9" spans="1:3" x14ac:dyDescent="0.2">
      <c r="A9" s="30" t="s">
        <v>188</v>
      </c>
      <c r="B9" s="68">
        <f>Prévisions!W30</f>
        <v>65160000</v>
      </c>
    </row>
    <row r="10" spans="1:3" x14ac:dyDescent="0.2">
      <c r="A10" s="67" t="s">
        <v>189</v>
      </c>
      <c r="B10" s="56">
        <f>Dépenses!W11</f>
        <v>10180000</v>
      </c>
    </row>
    <row r="11" spans="1:3" x14ac:dyDescent="0.2">
      <c r="A11" s="67" t="s">
        <v>221</v>
      </c>
      <c r="B11" s="56">
        <f>Dépenses!W22+Dépenses!W25+Dépenses!W26</f>
        <v>20580000</v>
      </c>
    </row>
    <row r="12" spans="1:3" x14ac:dyDescent="0.2">
      <c r="A12" s="67" t="s">
        <v>222</v>
      </c>
      <c r="B12" s="56">
        <f>Dépenses!W33</f>
        <v>34400000</v>
      </c>
    </row>
    <row r="13" spans="1:3" x14ac:dyDescent="0.2">
      <c r="A13" s="30" t="s">
        <v>128</v>
      </c>
      <c r="B13" s="15">
        <f>Prévisions!W33</f>
        <v>145370400</v>
      </c>
    </row>
    <row r="14" spans="1:3" x14ac:dyDescent="0.2">
      <c r="A14" s="30" t="s">
        <v>129</v>
      </c>
      <c r="B14" s="15">
        <f>Prévisions!W34</f>
        <v>46025652</v>
      </c>
    </row>
    <row r="15" spans="1:3" x14ac:dyDescent="0.2">
      <c r="A15" s="30" t="s">
        <v>130</v>
      </c>
      <c r="B15" s="15">
        <f>Prévisions!V35</f>
        <v>145370400</v>
      </c>
    </row>
    <row r="16" spans="1:3" x14ac:dyDescent="0.2">
      <c r="A16" s="30" t="s">
        <v>131</v>
      </c>
      <c r="B16" s="15">
        <f>MIN(Prévisions!B35:V35)</f>
        <v>2306600</v>
      </c>
      <c r="C16" s="3" t="s">
        <v>132</v>
      </c>
    </row>
    <row r="17" spans="1:3" x14ac:dyDescent="0.2">
      <c r="A17" s="30" t="s">
        <v>133</v>
      </c>
      <c r="B17" s="15">
        <f>Prévisions!W5</f>
        <v>662750</v>
      </c>
    </row>
    <row r="18" spans="1:3" x14ac:dyDescent="0.2">
      <c r="A18" s="30" t="s">
        <v>134</v>
      </c>
      <c r="B18" s="15">
        <f>MAX(Prévisions!B6:V6)</f>
        <v>17100</v>
      </c>
    </row>
    <row r="19" spans="1:3" x14ac:dyDescent="0.2">
      <c r="A19" s="30" t="s">
        <v>223</v>
      </c>
      <c r="B19" s="15">
        <f>IF(Prévisions!W24=0,0,(Prévisions!W32-Dépenses!W33)/(Prévisions!W24*1000))</f>
        <v>1278.5460580912863</v>
      </c>
      <c r="C19" s="3" t="s">
        <v>135</v>
      </c>
    </row>
    <row r="20" spans="1:3" x14ac:dyDescent="0.2">
      <c r="A20" s="30" t="s">
        <v>224</v>
      </c>
      <c r="B20" s="15">
        <f>Paramètres!B5-B19</f>
        <v>621.45394190871366</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Paramètres</vt:lpstr>
      <vt:lpstr>Aliments</vt:lpstr>
      <vt:lpstr>Empoissonnement</vt:lpstr>
      <vt:lpstr>Aliment par vague</vt:lpstr>
      <vt:lpstr>Besoins aliments</vt:lpstr>
      <vt:lpstr>Dépenses</vt:lpstr>
      <vt:lpstr>Journal dépenses</vt:lpstr>
      <vt:lpstr>Gantt vagues</vt:lpstr>
      <vt:lpstr>Prévisions</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Ronald Djomkam</cp:lastModifiedBy>
  <cp:revision>1</cp:revision>
  <dcterms:created xsi:type="dcterms:W3CDTF">2026-08-02T09:32:14Z</dcterms:created>
  <dcterms:modified xsi:type="dcterms:W3CDTF">2026-08-02T23:51:49Z</dcterms:modified>
  <dc:language>en-US</dc:language>
</cp:coreProperties>
</file>